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shreyasdatar/Desktop/ICJ Paper/"/>
    </mc:Choice>
  </mc:AlternateContent>
  <xr:revisionPtr revIDLastSave="0" documentId="13_ncr:1_{C9BB5E41-1FDF-3349-A542-1FE3DFD158F6}" xr6:coauthVersionLast="47" xr6:coauthVersionMax="47" xr10:uidLastSave="{00000000-0000-0000-0000-000000000000}"/>
  <bookViews>
    <workbookView xWindow="140" yWindow="760" windowWidth="28480" windowHeight="15760" xr2:uid="{593BB7F4-531F-E94A-B320-63C61540CB5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1" i="1" l="1"/>
  <c r="M81" i="1"/>
  <c r="L84" i="1"/>
  <c r="M84" i="1"/>
  <c r="M86" i="1" s="1"/>
  <c r="L85" i="1"/>
  <c r="M85" i="1"/>
  <c r="L86" i="1"/>
  <c r="M94" i="1"/>
  <c r="M95" i="1"/>
  <c r="M98" i="1"/>
  <c r="M99" i="1"/>
  <c r="M102" i="1"/>
  <c r="M103" i="1"/>
  <c r="M106" i="1"/>
  <c r="M107" i="1"/>
  <c r="H51" i="1"/>
  <c r="E51" i="1"/>
  <c r="P95" i="1"/>
  <c r="P94" i="1"/>
  <c r="E74" i="1"/>
  <c r="N80" i="1"/>
  <c r="L90" i="1" s="1"/>
  <c r="N79" i="1"/>
  <c r="L89" i="1" s="1"/>
  <c r="E73"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2" i="1"/>
  <c r="H53" i="1"/>
  <c r="H54" i="1"/>
  <c r="H55" i="1"/>
  <c r="H56" i="1"/>
  <c r="H57" i="1"/>
  <c r="H58" i="1"/>
  <c r="H59" i="1"/>
  <c r="H60" i="1"/>
  <c r="H61" i="1"/>
  <c r="H62" i="1"/>
  <c r="H63" i="1"/>
  <c r="H64" i="1"/>
  <c r="H65" i="1"/>
  <c r="H66" i="1"/>
  <c r="H67" i="1"/>
  <c r="H6" i="1"/>
  <c r="E44" i="1"/>
  <c r="E13" i="1"/>
  <c r="E7" i="1"/>
  <c r="E8" i="1"/>
  <c r="E9" i="1"/>
  <c r="E10" i="1"/>
  <c r="E11" i="1"/>
  <c r="E12"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5" i="1"/>
  <c r="E46" i="1"/>
  <c r="E47" i="1"/>
  <c r="E48" i="1"/>
  <c r="E49" i="1"/>
  <c r="E50" i="1"/>
  <c r="E52" i="1"/>
  <c r="E53" i="1"/>
  <c r="E54" i="1"/>
  <c r="E55" i="1"/>
  <c r="E56" i="1"/>
  <c r="E57" i="1"/>
  <c r="E58" i="1"/>
  <c r="E59" i="1"/>
  <c r="E60" i="1"/>
  <c r="E61" i="1"/>
  <c r="E62" i="1"/>
  <c r="E63" i="1"/>
  <c r="E64" i="1"/>
  <c r="E65" i="1"/>
  <c r="E66" i="1"/>
  <c r="E67" i="1"/>
  <c r="E6" i="1"/>
  <c r="M90" i="1" l="1"/>
  <c r="M89" i="1"/>
  <c r="N90" i="1"/>
  <c r="N89" i="1"/>
  <c r="N81" i="1"/>
  <c r="E83" i="1" l="1"/>
  <c r="F87" i="1" s="1"/>
  <c r="E82" i="1"/>
  <c r="E87" i="1" s="1"/>
  <c r="E81" i="1"/>
  <c r="F86" i="1" s="1"/>
  <c r="E80" i="1"/>
  <c r="E86" i="1" s="1"/>
  <c r="E90" i="1" l="1"/>
</calcChain>
</file>

<file path=xl/sharedStrings.xml><?xml version="1.0" encoding="utf-8"?>
<sst xmlns="http://schemas.openxmlformats.org/spreadsheetml/2006/main" count="144" uniqueCount="124">
  <si>
    <t>Case</t>
  </si>
  <si>
    <t>Corfu Channel (United Kingdom of Great Britain and Northern Ireland v. Albania)</t>
  </si>
  <si>
    <t>Fisheries (United Kingdom v. Norway)</t>
  </si>
  <si>
    <t>Haya de la Torre (Colombia v. Peru)</t>
  </si>
  <si>
    <t>Rights of Nationals of the United States of America in Morocco (France v. United States of America)</t>
  </si>
  <si>
    <t>Minquiers and Ecrehos (France/United Kingdom)</t>
  </si>
  <si>
    <t>Ambatielos (Greece v. United Kingdom)</t>
  </si>
  <si>
    <t>Nottebohm (Liechtenstein v. Guatemala)</t>
  </si>
  <si>
    <t>Certain Norwegian Loans (France v. Norway)</t>
  </si>
  <si>
    <t>Sovereignty over Certain Frontier Land (Belgium/Netherlands)</t>
  </si>
  <si>
    <t>Arbitral Award Made by the King of Spain on 23 December 1906 (Honduras v. Nicaragua)</t>
  </si>
  <si>
    <t>Right of Passage over Indian Territory (Portugal v. India)</t>
  </si>
  <si>
    <t>Barcelona Traction, Light and Power Company, Limited (Belgium v. Spain)</t>
  </si>
  <si>
    <t>Temple of Preah Vihear (Cambodia v. Thailand)</t>
  </si>
  <si>
    <t>North Sea Continental Shelf (Federal Republic of Germany/Netherlands)</t>
  </si>
  <si>
    <t>North Sea Continental Shelf (Federal Republic of Germany/Denmark)</t>
  </si>
  <si>
    <t>Nuclear Tests (Australia v. France)</t>
  </si>
  <si>
    <t>Fisheries Jurisdiction (United Kingdom v. Iceland)</t>
  </si>
  <si>
    <t>Fisheries Jurisdiction (Federal Republic of Germany v. Iceland)</t>
  </si>
  <si>
    <t>Nuclear Tests (New Zealand v. France)</t>
  </si>
  <si>
    <t>United States Diplomatic and Consular Staff in Tehran (United States of America v. Iran)</t>
  </si>
  <si>
    <t>Continental Shelf (Tunisia/Libyan Arab Jamahiriya)</t>
  </si>
  <si>
    <t>Delimitation of the Maritime Boundary in the Gulf of Maine Area (Canada/United States of America)</t>
  </si>
  <si>
    <t>Application for Revision and Interpretation of the Judgment of 24 February 1982 in the Case concerning the Continental Shelf (Tunisia/Libyan Arab Jamahiriya) (Tunisia v. Libyan Arab Jamahiriya)</t>
  </si>
  <si>
    <t>Continental Shelf (Libyan Arab Jamahiriya/Malta)</t>
  </si>
  <si>
    <t>Frontier Dispute (Burkina Faso/Republic of Mali)</t>
  </si>
  <si>
    <t>Elettronica Sicula S.p.A. (ELSI) (United States of America v. Italy)</t>
  </si>
  <si>
    <t>Arbitral Award of 31 July 1989 (Guinea-Bissau v. Senegal)</t>
  </si>
  <si>
    <t>Military and Paramilitary Activities in and against Nicaragua (Nicaragua v. United States of America)</t>
  </si>
  <si>
    <t>Maritime Delimitation in the Area between Greenland and Jan Mayen (Denmark v. Norway)</t>
  </si>
  <si>
    <t>Territorial Dispute (Libyan Arab Jamahiriya/Chad)</t>
  </si>
  <si>
    <t>Kasikili/Sedudu Island (Botswana/Namibia)</t>
  </si>
  <si>
    <t>Request for Interpretation of the Judgment of 11 June 1998 in the Case concerning the Land and Maritime Boundary between Cameroon and Nigeria (Cameroon v. Nigeria), Preliminary Objections (Nigeria v. Cameroon)</t>
  </si>
  <si>
    <t>Maritime Delimitation and Territorial Questions between Qatar and Bahrain (Qatar v. Bahrain)</t>
  </si>
  <si>
    <t>LaGrand (Germany v. United States of America)</t>
  </si>
  <si>
    <t>Sovereignty over Pulau Ligitan and Pulau Sipadan (Indonesia/Malaysia)</t>
  </si>
  <si>
    <t>Land and Maritime Boundary between Cameroon and Nigeria (Cameroon v. Nigeria: Equatorial Guinea intervening)</t>
  </si>
  <si>
    <t>Application for Revision of the Judgment of 11 September 1992 in the Case concerning the Land, Island and Maritime Frontier Dispute (El Salvador/Honduras: Nicaragua intervening) (El Salvador v. Honduras)</t>
  </si>
  <si>
    <t>Frontier Dispute (Benin/Niger)</t>
  </si>
  <si>
    <t>Application of the Convention on the Prevention and Punishment of the Crime of Genocide (Bosnia and Herzegovina v. Serbia and Montenegro)</t>
  </si>
  <si>
    <t>Request for Interpretation of the Judgment of 31 March 2004 in the Case concerning Avena and Other Mexican Nationals (Mexico v. United States of America) (Mexico v. United States of America)</t>
  </si>
  <si>
    <t>Dispute regarding Navigational and Related Rights (Costa Rica v. Nicaragua)</t>
  </si>
  <si>
    <t>Maritime Delimitation in the Black Sea (Romania v. Ukraine)</t>
  </si>
  <si>
    <t>Ahmadou Sadio Diallo (Republic of Guinea v. Democratic Republic of the Congo)</t>
  </si>
  <si>
    <t>Jurisdictional Immunities of the State (Germany v. Italy: Greece intervening)</t>
  </si>
  <si>
    <t>Territorial and Maritime Dispute (Nicaragua v. Colombia)</t>
  </si>
  <si>
    <t>Questions relating to the Obligation to Prosecute or Extradite (Belgium v. Senegal)</t>
  </si>
  <si>
    <t>Frontier Dispute (Burkina Faso/Niger)</t>
  </si>
  <si>
    <t>Request for Interpretation of the Judgment of 15 June 1962 in the Case concerning the Temple of Preah Vihear (Cambodia v. Thailand) (Cambodia v. Thailand)</t>
  </si>
  <si>
    <t>Maritime Dispute (Peru v. Chile)</t>
  </si>
  <si>
    <t>Whaling in the Antarctic (Australia v. Japan: New Zealand intervening)</t>
  </si>
  <si>
    <t>Construction of a Road in Costa Rica along the San Juan River (Nicaragua v. Costa Rica)</t>
  </si>
  <si>
    <t>Certain Activities Carried Out by Nicaragua in the Border Area (Costa Rica v. Nicaragua)</t>
  </si>
  <si>
    <t>Application for revision of the Judgment of 23 May 2008 in the case concerning Sovereignty over Pedra Branca/Pulau Batu Puteh, Middle Rocks and South Ledge (Malaysia/Singapore) (Malaysia v. Singapore)</t>
  </si>
  <si>
    <t>Jadhav (India v. Pakistan)</t>
  </si>
  <si>
    <t>Immunities and Criminal Proceedings (Equatorial Guinea v. France)</t>
  </si>
  <si>
    <t>Maritime Delimitation in the Indian Ocean (Somalia v. Kenya)</t>
  </si>
  <si>
    <t>Dispute over the Status and Use of the Waters of the Silala (Chile v. Bolivia)</t>
  </si>
  <si>
    <t>Alleged Violations of Sovereign Rights and Maritime Spaces in the Caribbean Sea (Nicaragua v. Colombia)</t>
  </si>
  <si>
    <t>Armed Activities on the Territory of the Congo (Democratic Republic of the Congo v. Uganda)</t>
  </si>
  <si>
    <t>Application of the International Convention for the Suppression of the Financing of Terrorism and of the International Convention on the Elimination of All Forms of Racial Discrimination (Ukraine v. Russian Federation)</t>
  </si>
  <si>
    <t>Compliance</t>
  </si>
  <si>
    <t>ModDiff</t>
  </si>
  <si>
    <t>Party1</t>
  </si>
  <si>
    <t>Party2</t>
  </si>
  <si>
    <t>Gabčíkovo-Nagymaros Project (Hungary/Slovakia)</t>
  </si>
  <si>
    <t>Diff</t>
  </si>
  <si>
    <t>Total cases</t>
  </si>
  <si>
    <t>Complied</t>
  </si>
  <si>
    <t>Diff+Noncompliance</t>
  </si>
  <si>
    <t>No Diff+Noncompliance</t>
  </si>
  <si>
    <t>Diff+Compliance</t>
  </si>
  <si>
    <t>No Diff+Compliance</t>
  </si>
  <si>
    <t>No diff</t>
  </si>
  <si>
    <t>No compliance</t>
  </si>
  <si>
    <t>Non complied</t>
  </si>
  <si>
    <t>RRF</t>
  </si>
  <si>
    <t>CRF</t>
  </si>
  <si>
    <t>E11</t>
  </si>
  <si>
    <t>E12</t>
  </si>
  <si>
    <t>E21</t>
  </si>
  <si>
    <t>E22</t>
  </si>
  <si>
    <t>Expected value</t>
  </si>
  <si>
    <t>df</t>
  </si>
  <si>
    <t>χ2</t>
  </si>
  <si>
    <t>p value</t>
  </si>
  <si>
    <t>Frac complied</t>
  </si>
  <si>
    <t>Category</t>
  </si>
  <si>
    <t>Chi Square</t>
  </si>
  <si>
    <t>Colour Code</t>
  </si>
  <si>
    <t>Fisher's Exact</t>
  </si>
  <si>
    <t>Contingency Table</t>
  </si>
  <si>
    <t>Shreyas Datar</t>
  </si>
  <si>
    <t>ICJ Contentious Cases Database</t>
  </si>
  <si>
    <t>Significant</t>
  </si>
  <si>
    <t>OR</t>
  </si>
  <si>
    <t>Relatively weaker states noncomplying</t>
  </si>
  <si>
    <t>Relatively stronger states noncomplying</t>
  </si>
  <si>
    <t>Geopolitcal rivalry</t>
  </si>
  <si>
    <t>Border dispute</t>
  </si>
  <si>
    <t>No geopolitcal rivalry</t>
  </si>
  <si>
    <t>Border disputes, armed conflict, resources sharing</t>
  </si>
  <si>
    <t>Other, including judicial/procedural isues</t>
  </si>
  <si>
    <t>Border disputes, conflict, geopolitcal rivalry</t>
  </si>
  <si>
    <t>Other</t>
  </si>
  <si>
    <t>No border dispute</t>
  </si>
  <si>
    <t>Power Diff = 1 and Compliance = 0</t>
  </si>
  <si>
    <t>Power Diff = 0 and Compliance = 0</t>
  </si>
  <si>
    <t xml:space="preserve">Among all Compliance = 0 </t>
  </si>
  <si>
    <t>Power Diff = 1 and Compliance = 1</t>
  </si>
  <si>
    <t>III</t>
  </si>
  <si>
    <t>IV</t>
  </si>
  <si>
    <t>V</t>
  </si>
  <si>
    <t>VI</t>
  </si>
  <si>
    <t>VII</t>
  </si>
  <si>
    <t>VIII</t>
  </si>
  <si>
    <t xml:space="preserve"> </t>
  </si>
  <si>
    <t>a+b</t>
  </si>
  <si>
    <t>c+d</t>
  </si>
  <si>
    <t>a+c</t>
  </si>
  <si>
    <t>a+d</t>
  </si>
  <si>
    <t>N</t>
  </si>
  <si>
    <t>Relatively stronger non-complying</t>
  </si>
  <si>
    <t>Geopolitcal rivalry / Territorial disputes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</si>
</sst>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2"/>
      <color theme="1"/>
      <name val="Times New Roman"/>
      <family val="1"/>
    </font>
    <font>
      <sz val="10"/>
      <color rgb="FF333333"/>
      <name val="Times New Roman"/>
      <family val="1"/>
    </font>
    <font>
      <sz val="10"/>
      <color theme="1"/>
      <name val="Times New Roman"/>
      <family val="1"/>
    </font>
    <font>
      <sz val="10"/>
      <color theme="1"/>
      <name val="Aptos Narrow"/>
      <family val="2"/>
      <scheme val="minor"/>
    </font>
    <font>
      <b/>
      <sz val="12"/>
      <color theme="1"/>
      <name val="Aptos Narrow"/>
      <scheme val="minor"/>
    </font>
    <font>
      <sz val="12"/>
      <color theme="1"/>
      <name val="Aptos Narrow"/>
      <scheme val="minor"/>
    </font>
    <font>
      <sz val="12"/>
      <color rgb="FF000000"/>
      <name val="Times New Roman"/>
      <family val="1"/>
    </font>
  </fonts>
  <fills count="6">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3" fillId="0" borderId="0" xfId="0" applyFont="1"/>
    <xf numFmtId="0" fontId="3" fillId="0" borderId="0" xfId="0" applyFont="1" applyAlignment="1">
      <alignment wrapText="1"/>
    </xf>
    <xf numFmtId="0" fontId="4" fillId="0" borderId="0" xfId="0" applyFont="1"/>
    <xf numFmtId="0" fontId="0" fillId="0" borderId="1" xfId="0" applyBorder="1"/>
    <xf numFmtId="0" fontId="4" fillId="0" borderId="1" xfId="0" applyFont="1" applyBorder="1"/>
    <xf numFmtId="0" fontId="3" fillId="0" borderId="1" xfId="0" applyFont="1" applyBorder="1" applyAlignment="1">
      <alignment wrapText="1"/>
    </xf>
    <xf numFmtId="0" fontId="0" fillId="4" borderId="1" xfId="0" applyFill="1" applyBorder="1"/>
    <xf numFmtId="0" fontId="0" fillId="2" borderId="1" xfId="0" applyFill="1" applyBorder="1"/>
    <xf numFmtId="0" fontId="0" fillId="5" borderId="1" xfId="0" applyFill="1" applyBorder="1"/>
    <xf numFmtId="0" fontId="0" fillId="3" borderId="1" xfId="0" applyFill="1" applyBorder="1"/>
    <xf numFmtId="0" fontId="1" fillId="0" borderId="1" xfId="0" applyFont="1" applyBorder="1"/>
    <xf numFmtId="0" fontId="2" fillId="0" borderId="1" xfId="0" applyFont="1" applyBorder="1" applyAlignment="1">
      <alignment wrapText="1"/>
    </xf>
    <xf numFmtId="0" fontId="5" fillId="0" borderId="1" xfId="0" applyFont="1" applyBorder="1"/>
    <xf numFmtId="0" fontId="5" fillId="0" borderId="0" xfId="0" applyFont="1"/>
    <xf numFmtId="0" fontId="6" fillId="0" borderId="1" xfId="0" applyFont="1" applyBorder="1"/>
    <xf numFmtId="0" fontId="4" fillId="0" borderId="0" xfId="0" applyFont="1" applyAlignment="1">
      <alignment wrapText="1"/>
    </xf>
    <xf numFmtId="0" fontId="0" fillId="0" borderId="1" xfId="0" applyBorder="1" applyAlignment="1">
      <alignment wrapText="1"/>
    </xf>
    <xf numFmtId="0" fontId="6" fillId="0" borderId="1" xfId="0" applyFont="1" applyBorder="1" applyAlignment="1">
      <alignment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 xfId="0" applyBorder="1" applyAlignment="1">
      <alignment horizontal="center" wrapText="1"/>
    </xf>
    <xf numFmtId="0" fontId="4" fillId="0" borderId="0" xfId="0" applyFont="1" applyBorder="1"/>
    <xf numFmtId="0" fontId="0" fillId="2" borderId="0" xfId="0" applyFill="1" applyBorder="1"/>
    <xf numFmtId="0" fontId="0" fillId="3" borderId="0" xfId="0" applyFill="1" applyBorder="1"/>
    <xf numFmtId="0" fontId="0" fillId="4" borderId="0" xfId="0" applyFill="1" applyBorder="1"/>
    <xf numFmtId="0" fontId="0" fillId="5" borderId="0" xfId="0" applyFill="1" applyBorder="1"/>
    <xf numFmtId="0" fontId="0" fillId="0" borderId="2" xfId="0" applyBorder="1" applyAlignment="1">
      <alignment wrapText="1"/>
    </xf>
    <xf numFmtId="0" fontId="4" fillId="0" borderId="0" xfId="0" applyFont="1" applyAlignment="1">
      <alignment horizontal="center"/>
    </xf>
    <xf numFmtId="0" fontId="3" fillId="0" borderId="1" xfId="0" applyFont="1" applyBorder="1" applyAlignment="1">
      <alignment horizontal="center" wrapText="1"/>
    </xf>
    <xf numFmtId="0" fontId="3" fillId="0" borderId="1" xfId="0" applyFont="1" applyBorder="1" applyAlignment="1">
      <alignment horizontal="center" wrapText="1"/>
    </xf>
    <xf numFmtId="0" fontId="3" fillId="2" borderId="1" xfId="0" applyFont="1" applyFill="1" applyBorder="1" applyAlignment="1">
      <alignment wrapText="1"/>
    </xf>
    <xf numFmtId="0" fontId="3" fillId="5" borderId="1" xfId="0" applyFont="1" applyFill="1" applyBorder="1" applyAlignment="1">
      <alignment wrapText="1"/>
    </xf>
    <xf numFmtId="0" fontId="3" fillId="3" borderId="1" xfId="0" applyFont="1" applyFill="1" applyBorder="1" applyAlignment="1">
      <alignment wrapText="1"/>
    </xf>
    <xf numFmtId="0" fontId="3" fillId="4" borderId="1" xfId="0" applyFont="1" applyFill="1" applyBorder="1" applyAlignment="1">
      <alignment wrapText="1"/>
    </xf>
    <xf numFmtId="0" fontId="7" fillId="0" borderId="1" xfId="0" applyFont="1" applyBorder="1"/>
    <xf numFmtId="0" fontId="4" fillId="0" borderId="0" xfId="0" applyFont="1" applyBorder="1" applyAlignment="1">
      <alignment horizontal="center"/>
    </xf>
    <xf numFmtId="0" fontId="3" fillId="0" borderId="0" xfId="0" applyFont="1" applyBorder="1" applyAlignment="1">
      <alignment horizontal="center" wrapText="1"/>
    </xf>
    <xf numFmtId="0" fontId="3" fillId="0" borderId="0"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BCD3D-982F-3E4B-95A6-CD2A7D89D573}">
  <dimension ref="B2:Q131"/>
  <sheetViews>
    <sheetView tabSelected="1" zoomScale="94" zoomScaleNormal="117" workbookViewId="0">
      <selection activeCell="I10" sqref="I10"/>
    </sheetView>
  </sheetViews>
  <sheetFormatPr baseColWidth="10" defaultRowHeight="16" x14ac:dyDescent="0.2"/>
  <cols>
    <col min="2" max="2" width="19.6640625" customWidth="1"/>
    <col min="3" max="3" width="12.33203125" customWidth="1"/>
    <col min="4" max="4" width="12.1640625" customWidth="1"/>
    <col min="5" max="5" width="11" customWidth="1"/>
    <col min="9" max="9" width="18.1640625" customWidth="1"/>
    <col min="10" max="10" width="14" customWidth="1"/>
    <col min="11" max="11" width="8.83203125" customWidth="1"/>
    <col min="12" max="12" width="6.6640625" customWidth="1"/>
    <col min="13" max="13" width="11.1640625" customWidth="1"/>
    <col min="14" max="14" width="13" customWidth="1"/>
    <col min="15" max="15" width="4.1640625" customWidth="1"/>
    <col min="16" max="16" width="13" customWidth="1"/>
  </cols>
  <sheetData>
    <row r="2" spans="2:16" x14ac:dyDescent="0.2">
      <c r="B2" s="4"/>
      <c r="C2" s="4"/>
      <c r="D2" s="4"/>
      <c r="E2" s="4"/>
      <c r="F2" s="4"/>
      <c r="G2" s="6"/>
      <c r="H2" s="6"/>
      <c r="I2" s="6"/>
      <c r="J2" s="6"/>
      <c r="K2" s="6"/>
      <c r="L2" s="6"/>
      <c r="M2" s="6"/>
    </row>
    <row r="3" spans="2:16" x14ac:dyDescent="0.2">
      <c r="B3" s="33" t="s">
        <v>93</v>
      </c>
      <c r="C3" s="33"/>
      <c r="D3" s="33"/>
      <c r="E3" s="33"/>
      <c r="F3" s="33"/>
      <c r="G3" s="33"/>
      <c r="H3" s="33"/>
      <c r="I3" s="33"/>
      <c r="J3" s="34"/>
      <c r="K3" s="41"/>
      <c r="L3" s="6"/>
      <c r="M3" s="19"/>
    </row>
    <row r="4" spans="2:16" x14ac:dyDescent="0.2">
      <c r="B4" s="33" t="s">
        <v>92</v>
      </c>
      <c r="C4" s="33"/>
      <c r="D4" s="33"/>
      <c r="E4" s="33"/>
      <c r="F4" s="33"/>
      <c r="G4" s="33"/>
      <c r="H4" s="33"/>
      <c r="I4" s="33"/>
      <c r="J4" s="34"/>
      <c r="K4" s="41"/>
      <c r="L4" s="6"/>
      <c r="M4" s="6"/>
    </row>
    <row r="5" spans="2:16" ht="49" customHeight="1" x14ac:dyDescent="0.2">
      <c r="B5" s="9" t="s">
        <v>0</v>
      </c>
      <c r="C5" s="9" t="s">
        <v>63</v>
      </c>
      <c r="D5" s="9" t="s">
        <v>64</v>
      </c>
      <c r="E5" s="9" t="s">
        <v>66</v>
      </c>
      <c r="F5" s="9" t="s">
        <v>62</v>
      </c>
      <c r="G5" s="9" t="s">
        <v>61</v>
      </c>
      <c r="H5" s="9" t="s">
        <v>87</v>
      </c>
      <c r="I5" s="9" t="s">
        <v>122</v>
      </c>
      <c r="J5" s="9" t="s">
        <v>123</v>
      </c>
      <c r="K5" s="42"/>
      <c r="L5" s="6"/>
      <c r="M5" s="6"/>
    </row>
    <row r="6" spans="2:16" ht="57" x14ac:dyDescent="0.2">
      <c r="B6" s="15" t="s">
        <v>1</v>
      </c>
      <c r="C6" s="9">
        <v>1</v>
      </c>
      <c r="D6" s="9">
        <v>0</v>
      </c>
      <c r="E6" s="9">
        <f>C6-D6</f>
        <v>1</v>
      </c>
      <c r="F6" s="9">
        <v>1</v>
      </c>
      <c r="G6" s="9">
        <v>0</v>
      </c>
      <c r="H6" s="35">
        <f>F6-G6</f>
        <v>1</v>
      </c>
      <c r="I6" s="9">
        <v>0</v>
      </c>
      <c r="J6" s="9">
        <v>0</v>
      </c>
      <c r="K6" s="42"/>
      <c r="L6" s="6"/>
      <c r="M6" s="5"/>
      <c r="N6" s="5"/>
      <c r="O6" s="5"/>
      <c r="P6" s="6"/>
    </row>
    <row r="7" spans="2:16" ht="29" x14ac:dyDescent="0.2">
      <c r="B7" s="15" t="s">
        <v>2</v>
      </c>
      <c r="C7" s="9">
        <v>1</v>
      </c>
      <c r="D7" s="9">
        <v>1</v>
      </c>
      <c r="E7" s="9">
        <f t="shared" ref="E7:E36" si="0">C7-D7</f>
        <v>0</v>
      </c>
      <c r="F7" s="9">
        <v>0</v>
      </c>
      <c r="G7" s="9">
        <v>1</v>
      </c>
      <c r="H7" s="36">
        <f t="shared" ref="H7:H53" si="1">F7-G7</f>
        <v>-1</v>
      </c>
      <c r="I7" s="9"/>
      <c r="J7" s="9"/>
      <c r="K7" s="42"/>
      <c r="L7" s="6"/>
      <c r="M7" s="5"/>
      <c r="N7" s="5"/>
      <c r="O7" s="5"/>
      <c r="P7" s="6"/>
    </row>
    <row r="8" spans="2:16" ht="29" x14ac:dyDescent="0.2">
      <c r="B8" s="15" t="s">
        <v>3</v>
      </c>
      <c r="C8" s="9">
        <v>0</v>
      </c>
      <c r="D8" s="9">
        <v>0</v>
      </c>
      <c r="E8" s="9">
        <f t="shared" si="0"/>
        <v>0</v>
      </c>
      <c r="F8" s="9">
        <v>0</v>
      </c>
      <c r="G8" s="9">
        <v>0</v>
      </c>
      <c r="H8" s="37">
        <f t="shared" si="1"/>
        <v>0</v>
      </c>
      <c r="I8" s="9"/>
      <c r="J8" s="9">
        <v>0</v>
      </c>
      <c r="K8" s="42"/>
      <c r="L8" s="6"/>
      <c r="M8" s="5"/>
      <c r="N8" s="5"/>
      <c r="O8" s="5"/>
      <c r="P8" s="6"/>
    </row>
    <row r="9" spans="2:16" ht="57" x14ac:dyDescent="0.2">
      <c r="B9" s="15" t="s">
        <v>4</v>
      </c>
      <c r="C9" s="9">
        <v>1</v>
      </c>
      <c r="D9" s="9">
        <v>1</v>
      </c>
      <c r="E9" s="9">
        <f t="shared" si="0"/>
        <v>0</v>
      </c>
      <c r="F9" s="9">
        <v>0</v>
      </c>
      <c r="G9" s="9">
        <v>1</v>
      </c>
      <c r="H9" s="36">
        <f t="shared" si="1"/>
        <v>-1</v>
      </c>
      <c r="I9" s="9"/>
      <c r="J9" s="9"/>
      <c r="K9" s="42"/>
      <c r="L9" s="6"/>
      <c r="M9" s="5"/>
      <c r="N9" s="5"/>
      <c r="O9" s="5"/>
      <c r="P9" s="6"/>
    </row>
    <row r="10" spans="2:16" ht="29" x14ac:dyDescent="0.2">
      <c r="B10" s="15" t="s">
        <v>5</v>
      </c>
      <c r="C10" s="9">
        <v>1</v>
      </c>
      <c r="D10" s="9">
        <v>1</v>
      </c>
      <c r="E10" s="9">
        <f t="shared" si="0"/>
        <v>0</v>
      </c>
      <c r="F10" s="9">
        <v>0</v>
      </c>
      <c r="G10" s="9">
        <v>1</v>
      </c>
      <c r="H10" s="36">
        <f t="shared" si="1"/>
        <v>-1</v>
      </c>
      <c r="I10" s="9"/>
      <c r="J10" s="9"/>
      <c r="K10" s="42"/>
      <c r="L10" s="6"/>
      <c r="M10" s="5"/>
      <c r="N10" s="5"/>
      <c r="O10" s="5"/>
      <c r="P10" s="6"/>
    </row>
    <row r="11" spans="2:16" ht="29" x14ac:dyDescent="0.2">
      <c r="B11" s="15" t="s">
        <v>6</v>
      </c>
      <c r="C11" s="9">
        <v>1</v>
      </c>
      <c r="D11" s="9">
        <v>1</v>
      </c>
      <c r="E11" s="9">
        <f t="shared" si="0"/>
        <v>0</v>
      </c>
      <c r="F11" s="9">
        <v>0</v>
      </c>
      <c r="G11" s="9">
        <v>1</v>
      </c>
      <c r="H11" s="36">
        <f t="shared" si="1"/>
        <v>-1</v>
      </c>
      <c r="I11" s="9"/>
      <c r="J11" s="9"/>
      <c r="K11" s="42"/>
      <c r="L11" s="6"/>
      <c r="M11" s="5"/>
      <c r="N11" s="5"/>
      <c r="O11" s="5"/>
      <c r="P11" s="6"/>
    </row>
    <row r="12" spans="2:16" ht="29" x14ac:dyDescent="0.2">
      <c r="B12" s="15" t="s">
        <v>7</v>
      </c>
      <c r="C12" s="9">
        <v>1</v>
      </c>
      <c r="D12" s="9">
        <v>0</v>
      </c>
      <c r="E12" s="9">
        <f t="shared" si="0"/>
        <v>1</v>
      </c>
      <c r="F12" s="9">
        <v>1</v>
      </c>
      <c r="G12" s="9">
        <v>1</v>
      </c>
      <c r="H12" s="38">
        <f t="shared" si="1"/>
        <v>0</v>
      </c>
      <c r="I12" s="9"/>
      <c r="J12" s="9">
        <v>0</v>
      </c>
      <c r="K12" s="42"/>
      <c r="L12" s="6"/>
      <c r="M12" s="6"/>
      <c r="N12" s="6"/>
      <c r="O12" s="6"/>
      <c r="P12" s="6"/>
    </row>
    <row r="13" spans="2:16" ht="56" customHeight="1" x14ac:dyDescent="0.2">
      <c r="B13" s="15" t="s">
        <v>65</v>
      </c>
      <c r="C13" s="9">
        <v>1</v>
      </c>
      <c r="D13" s="9">
        <v>1</v>
      </c>
      <c r="E13" s="9">
        <f t="shared" si="0"/>
        <v>0</v>
      </c>
      <c r="F13" s="9">
        <v>0</v>
      </c>
      <c r="G13" s="9">
        <v>0</v>
      </c>
      <c r="H13" s="37">
        <f t="shared" si="1"/>
        <v>0</v>
      </c>
      <c r="I13" s="9"/>
      <c r="J13" s="9">
        <v>1</v>
      </c>
      <c r="K13" s="42"/>
      <c r="L13" s="6"/>
      <c r="M13" s="6"/>
      <c r="N13" s="6"/>
      <c r="O13" s="6"/>
      <c r="P13" s="6"/>
    </row>
    <row r="14" spans="2:16" ht="29" x14ac:dyDescent="0.2">
      <c r="B14" s="15" t="s">
        <v>8</v>
      </c>
      <c r="C14" s="9">
        <v>1</v>
      </c>
      <c r="D14" s="9">
        <v>1</v>
      </c>
      <c r="E14" s="9">
        <f t="shared" si="0"/>
        <v>0</v>
      </c>
      <c r="F14" s="9">
        <v>0</v>
      </c>
      <c r="G14" s="9">
        <v>1</v>
      </c>
      <c r="H14" s="36">
        <f t="shared" si="1"/>
        <v>-1</v>
      </c>
      <c r="I14" s="9"/>
      <c r="J14" s="9"/>
      <c r="K14" s="42"/>
      <c r="L14" s="6"/>
      <c r="M14" s="6"/>
    </row>
    <row r="15" spans="2:16" ht="43" x14ac:dyDescent="0.2">
      <c r="B15" s="15" t="s">
        <v>9</v>
      </c>
      <c r="C15" s="9">
        <v>1</v>
      </c>
      <c r="D15" s="9">
        <v>1</v>
      </c>
      <c r="E15" s="9">
        <f t="shared" si="0"/>
        <v>0</v>
      </c>
      <c r="F15" s="9">
        <v>0</v>
      </c>
      <c r="G15" s="9">
        <v>1</v>
      </c>
      <c r="H15" s="36">
        <f t="shared" si="1"/>
        <v>-1</v>
      </c>
      <c r="I15" s="9"/>
      <c r="J15" s="9"/>
      <c r="K15" s="42"/>
      <c r="L15" s="6"/>
      <c r="M15" s="6"/>
    </row>
    <row r="16" spans="2:16" ht="57" x14ac:dyDescent="0.2">
      <c r="B16" s="15" t="s">
        <v>10</v>
      </c>
      <c r="C16" s="9">
        <v>0</v>
      </c>
      <c r="D16" s="9">
        <v>0</v>
      </c>
      <c r="E16" s="9">
        <f t="shared" si="0"/>
        <v>0</v>
      </c>
      <c r="F16" s="9">
        <v>0</v>
      </c>
      <c r="G16" s="9">
        <v>1</v>
      </c>
      <c r="H16" s="36">
        <f t="shared" si="1"/>
        <v>-1</v>
      </c>
      <c r="I16" s="9"/>
      <c r="J16" s="9"/>
      <c r="K16" s="42"/>
      <c r="L16" s="40"/>
      <c r="M16" s="32"/>
    </row>
    <row r="17" spans="2:13" ht="43" x14ac:dyDescent="0.2">
      <c r="B17" s="15" t="s">
        <v>11</v>
      </c>
      <c r="C17" s="9">
        <v>1</v>
      </c>
      <c r="D17" s="9">
        <v>0</v>
      </c>
      <c r="E17" s="9">
        <f t="shared" si="0"/>
        <v>1</v>
      </c>
      <c r="F17" s="9">
        <v>1</v>
      </c>
      <c r="G17" s="9">
        <v>1</v>
      </c>
      <c r="H17" s="38">
        <f t="shared" si="1"/>
        <v>0</v>
      </c>
      <c r="I17" s="9"/>
      <c r="J17" s="9">
        <v>0</v>
      </c>
      <c r="K17" s="42"/>
      <c r="L17" s="6"/>
      <c r="M17" s="6"/>
    </row>
    <row r="18" spans="2:13" ht="57" x14ac:dyDescent="0.2">
      <c r="B18" s="15" t="s">
        <v>12</v>
      </c>
      <c r="C18" s="9">
        <v>1</v>
      </c>
      <c r="D18" s="9">
        <v>1</v>
      </c>
      <c r="E18" s="9">
        <f t="shared" si="0"/>
        <v>0</v>
      </c>
      <c r="F18" s="9">
        <v>0</v>
      </c>
      <c r="G18" s="9">
        <v>1</v>
      </c>
      <c r="H18" s="36">
        <f t="shared" si="1"/>
        <v>-1</v>
      </c>
      <c r="I18" s="9"/>
      <c r="J18" s="9"/>
      <c r="K18" s="42"/>
      <c r="L18" s="6"/>
      <c r="M18" s="6"/>
    </row>
    <row r="19" spans="2:13" ht="29" x14ac:dyDescent="0.2">
      <c r="B19" s="15" t="s">
        <v>13</v>
      </c>
      <c r="C19" s="9">
        <v>0</v>
      </c>
      <c r="D19" s="9">
        <v>0</v>
      </c>
      <c r="E19" s="9">
        <f t="shared" si="0"/>
        <v>0</v>
      </c>
      <c r="F19" s="9">
        <v>0</v>
      </c>
      <c r="G19" s="9">
        <v>1</v>
      </c>
      <c r="H19" s="36">
        <f t="shared" si="1"/>
        <v>-1</v>
      </c>
      <c r="I19" s="9"/>
      <c r="J19" s="9"/>
      <c r="K19" s="42"/>
      <c r="L19" s="6"/>
      <c r="M19" s="6"/>
    </row>
    <row r="20" spans="2:13" ht="43" x14ac:dyDescent="0.2">
      <c r="B20" s="15" t="s">
        <v>14</v>
      </c>
      <c r="C20" s="9">
        <v>1</v>
      </c>
      <c r="D20" s="9">
        <v>1</v>
      </c>
      <c r="E20" s="9">
        <f t="shared" si="0"/>
        <v>0</v>
      </c>
      <c r="F20" s="9">
        <v>0</v>
      </c>
      <c r="G20" s="9">
        <v>1</v>
      </c>
      <c r="H20" s="36">
        <f t="shared" si="1"/>
        <v>-1</v>
      </c>
      <c r="I20" s="9"/>
      <c r="J20" s="9"/>
      <c r="K20" s="42"/>
      <c r="L20" s="6"/>
      <c r="M20" s="6"/>
    </row>
    <row r="21" spans="2:13" ht="43" x14ac:dyDescent="0.2">
      <c r="B21" s="15" t="s">
        <v>15</v>
      </c>
      <c r="C21" s="9">
        <v>1</v>
      </c>
      <c r="D21" s="9">
        <v>1</v>
      </c>
      <c r="E21" s="9">
        <f t="shared" si="0"/>
        <v>0</v>
      </c>
      <c r="F21" s="9">
        <v>0</v>
      </c>
      <c r="G21" s="9">
        <v>1</v>
      </c>
      <c r="H21" s="36">
        <f t="shared" si="1"/>
        <v>-1</v>
      </c>
      <c r="I21" s="9"/>
      <c r="J21" s="9"/>
      <c r="K21" s="42"/>
      <c r="L21" s="6"/>
      <c r="M21" s="6"/>
    </row>
    <row r="22" spans="2:13" ht="29" x14ac:dyDescent="0.2">
      <c r="B22" s="15" t="s">
        <v>16</v>
      </c>
      <c r="C22" s="9">
        <v>1</v>
      </c>
      <c r="D22" s="9">
        <v>1</v>
      </c>
      <c r="E22" s="9">
        <f t="shared" si="0"/>
        <v>0</v>
      </c>
      <c r="F22" s="9">
        <v>0</v>
      </c>
      <c r="G22" s="9">
        <v>1</v>
      </c>
      <c r="H22" s="36">
        <f t="shared" si="1"/>
        <v>-1</v>
      </c>
      <c r="I22" s="9"/>
      <c r="J22" s="9"/>
      <c r="K22" s="42"/>
      <c r="L22" s="6"/>
      <c r="M22" s="6"/>
    </row>
    <row r="23" spans="2:13" ht="43" x14ac:dyDescent="0.2">
      <c r="B23" s="15" t="s">
        <v>17</v>
      </c>
      <c r="C23" s="9">
        <v>1</v>
      </c>
      <c r="D23" s="9">
        <v>1</v>
      </c>
      <c r="E23" s="9">
        <f t="shared" si="0"/>
        <v>0</v>
      </c>
      <c r="F23" s="9">
        <v>0</v>
      </c>
      <c r="G23" s="9">
        <v>0</v>
      </c>
      <c r="H23" s="37">
        <f t="shared" si="1"/>
        <v>0</v>
      </c>
      <c r="I23" s="9"/>
      <c r="J23" s="9">
        <v>1</v>
      </c>
      <c r="K23" s="42"/>
      <c r="L23" s="6"/>
      <c r="M23" s="6"/>
    </row>
    <row r="24" spans="2:13" ht="43" x14ac:dyDescent="0.2">
      <c r="B24" s="15" t="s">
        <v>18</v>
      </c>
      <c r="C24" s="9">
        <v>1</v>
      </c>
      <c r="D24" s="9">
        <v>1</v>
      </c>
      <c r="E24" s="9">
        <f t="shared" si="0"/>
        <v>0</v>
      </c>
      <c r="F24" s="9">
        <v>0</v>
      </c>
      <c r="G24" s="9">
        <v>0</v>
      </c>
      <c r="H24" s="37">
        <f t="shared" si="1"/>
        <v>0</v>
      </c>
      <c r="I24" s="9"/>
      <c r="J24" s="9">
        <v>1</v>
      </c>
      <c r="K24" s="42"/>
      <c r="L24" s="6"/>
      <c r="M24" s="6"/>
    </row>
    <row r="25" spans="2:13" ht="29" x14ac:dyDescent="0.2">
      <c r="B25" s="15" t="s">
        <v>19</v>
      </c>
      <c r="C25" s="9">
        <v>1</v>
      </c>
      <c r="D25" s="9">
        <v>1</v>
      </c>
      <c r="E25" s="9">
        <f t="shared" si="0"/>
        <v>0</v>
      </c>
      <c r="F25" s="9">
        <v>0</v>
      </c>
      <c r="G25" s="9">
        <v>1</v>
      </c>
      <c r="H25" s="36">
        <f t="shared" si="1"/>
        <v>-1</v>
      </c>
      <c r="I25" s="9"/>
      <c r="J25" s="9"/>
      <c r="K25" s="42"/>
      <c r="L25" s="6"/>
      <c r="M25" s="6"/>
    </row>
    <row r="26" spans="2:13" ht="57" x14ac:dyDescent="0.2">
      <c r="B26" s="15" t="s">
        <v>20</v>
      </c>
      <c r="C26" s="9">
        <v>1</v>
      </c>
      <c r="D26" s="9">
        <v>0</v>
      </c>
      <c r="E26" s="9">
        <f t="shared" si="0"/>
        <v>1</v>
      </c>
      <c r="F26" s="9">
        <v>1</v>
      </c>
      <c r="G26" s="9">
        <v>0</v>
      </c>
      <c r="H26" s="35">
        <f t="shared" si="1"/>
        <v>1</v>
      </c>
      <c r="I26" s="9">
        <v>0</v>
      </c>
      <c r="J26" s="9">
        <v>1</v>
      </c>
      <c r="K26" s="42"/>
      <c r="L26" s="6"/>
      <c r="M26" s="6"/>
    </row>
    <row r="27" spans="2:13" ht="43" x14ac:dyDescent="0.2">
      <c r="B27" s="15" t="s">
        <v>21</v>
      </c>
      <c r="C27" s="9">
        <v>0</v>
      </c>
      <c r="D27" s="9">
        <v>0</v>
      </c>
      <c r="E27" s="9">
        <f t="shared" si="0"/>
        <v>0</v>
      </c>
      <c r="F27" s="9">
        <v>0</v>
      </c>
      <c r="G27" s="9">
        <v>1</v>
      </c>
      <c r="H27" s="36">
        <f t="shared" si="1"/>
        <v>-1</v>
      </c>
      <c r="I27" s="9"/>
      <c r="J27" s="9"/>
      <c r="K27" s="42"/>
      <c r="L27" s="6"/>
      <c r="M27" s="6"/>
    </row>
    <row r="28" spans="2:13" ht="71" x14ac:dyDescent="0.2">
      <c r="B28" s="15" t="s">
        <v>22</v>
      </c>
      <c r="C28" s="9">
        <v>1</v>
      </c>
      <c r="D28" s="9">
        <v>1</v>
      </c>
      <c r="E28" s="9">
        <f t="shared" si="0"/>
        <v>0</v>
      </c>
      <c r="F28" s="9">
        <v>0</v>
      </c>
      <c r="G28" s="9">
        <v>1</v>
      </c>
      <c r="H28" s="36">
        <f t="shared" si="1"/>
        <v>-1</v>
      </c>
      <c r="I28" s="9"/>
      <c r="J28" s="9"/>
      <c r="K28" s="42"/>
      <c r="L28" s="6"/>
      <c r="M28" s="6"/>
    </row>
    <row r="29" spans="2:13" ht="134" customHeight="1" x14ac:dyDescent="0.2">
      <c r="B29" s="15" t="s">
        <v>23</v>
      </c>
      <c r="C29" s="9">
        <v>0</v>
      </c>
      <c r="D29" s="9">
        <v>0</v>
      </c>
      <c r="E29" s="9">
        <f t="shared" si="0"/>
        <v>0</v>
      </c>
      <c r="F29" s="9">
        <v>0</v>
      </c>
      <c r="G29" s="9">
        <v>1</v>
      </c>
      <c r="H29" s="36">
        <f t="shared" si="1"/>
        <v>-1</v>
      </c>
      <c r="I29" s="9"/>
      <c r="J29" s="9"/>
      <c r="K29" s="42"/>
      <c r="L29" s="6"/>
      <c r="M29" s="6"/>
    </row>
    <row r="30" spans="2:13" ht="29" x14ac:dyDescent="0.2">
      <c r="B30" s="15" t="s">
        <v>24</v>
      </c>
      <c r="C30" s="9">
        <v>0</v>
      </c>
      <c r="D30" s="9">
        <v>1</v>
      </c>
      <c r="E30" s="9">
        <f t="shared" si="0"/>
        <v>-1</v>
      </c>
      <c r="F30" s="9">
        <v>1</v>
      </c>
      <c r="G30" s="9">
        <v>1</v>
      </c>
      <c r="H30" s="38">
        <f t="shared" si="1"/>
        <v>0</v>
      </c>
      <c r="I30" s="9"/>
      <c r="J30" s="9">
        <v>1</v>
      </c>
      <c r="K30" s="42"/>
      <c r="L30" s="6"/>
      <c r="M30" s="6"/>
    </row>
    <row r="31" spans="2:13" ht="29" x14ac:dyDescent="0.2">
      <c r="B31" s="15" t="s">
        <v>25</v>
      </c>
      <c r="C31" s="9">
        <v>0</v>
      </c>
      <c r="D31" s="9">
        <v>0</v>
      </c>
      <c r="E31" s="9">
        <f t="shared" si="0"/>
        <v>0</v>
      </c>
      <c r="F31" s="9">
        <v>0</v>
      </c>
      <c r="G31" s="9">
        <v>1</v>
      </c>
      <c r="H31" s="36">
        <f t="shared" si="1"/>
        <v>-1</v>
      </c>
      <c r="I31" s="9"/>
      <c r="J31" s="9"/>
      <c r="K31" s="42"/>
      <c r="L31" s="6"/>
      <c r="M31" s="6"/>
    </row>
    <row r="32" spans="2:13" ht="43" x14ac:dyDescent="0.2">
      <c r="B32" s="15" t="s">
        <v>26</v>
      </c>
      <c r="C32" s="9">
        <v>1</v>
      </c>
      <c r="D32" s="9">
        <v>1</v>
      </c>
      <c r="E32" s="9">
        <f t="shared" si="0"/>
        <v>0</v>
      </c>
      <c r="F32" s="9">
        <v>0</v>
      </c>
      <c r="G32" s="9">
        <v>1</v>
      </c>
      <c r="H32" s="36">
        <f t="shared" si="1"/>
        <v>-1</v>
      </c>
      <c r="I32" s="9"/>
      <c r="J32" s="9"/>
      <c r="K32" s="42"/>
      <c r="L32" s="6"/>
      <c r="M32" s="6"/>
    </row>
    <row r="33" spans="2:13" ht="43" x14ac:dyDescent="0.2">
      <c r="B33" s="15" t="s">
        <v>27</v>
      </c>
      <c r="C33" s="9">
        <v>0</v>
      </c>
      <c r="D33" s="9">
        <v>0</v>
      </c>
      <c r="E33" s="9">
        <f t="shared" si="0"/>
        <v>0</v>
      </c>
      <c r="F33" s="9">
        <v>0</v>
      </c>
      <c r="G33" s="9">
        <v>1</v>
      </c>
      <c r="H33" s="36">
        <f t="shared" si="1"/>
        <v>-1</v>
      </c>
      <c r="I33" s="9"/>
      <c r="J33" s="9"/>
      <c r="K33" s="42"/>
      <c r="L33" s="6"/>
      <c r="M33" s="6"/>
    </row>
    <row r="34" spans="2:13" ht="57" x14ac:dyDescent="0.2">
      <c r="B34" s="15" t="s">
        <v>28</v>
      </c>
      <c r="C34" s="9">
        <v>0</v>
      </c>
      <c r="D34" s="9">
        <v>1</v>
      </c>
      <c r="E34" s="9">
        <f t="shared" si="0"/>
        <v>-1</v>
      </c>
      <c r="F34" s="9">
        <v>1</v>
      </c>
      <c r="G34" s="9">
        <v>0</v>
      </c>
      <c r="H34" s="35">
        <f t="shared" si="1"/>
        <v>1</v>
      </c>
      <c r="I34" s="9">
        <v>1</v>
      </c>
      <c r="J34" s="9">
        <v>1</v>
      </c>
      <c r="K34" s="42"/>
      <c r="L34" s="6"/>
      <c r="M34" s="6"/>
    </row>
    <row r="35" spans="2:13" ht="102" customHeight="1" x14ac:dyDescent="0.2">
      <c r="B35" s="15" t="s">
        <v>29</v>
      </c>
      <c r="C35" s="9">
        <v>1</v>
      </c>
      <c r="D35" s="9">
        <v>1</v>
      </c>
      <c r="E35" s="9">
        <f t="shared" si="0"/>
        <v>0</v>
      </c>
      <c r="F35" s="9">
        <v>0</v>
      </c>
      <c r="G35" s="9">
        <v>1</v>
      </c>
      <c r="H35" s="36">
        <f t="shared" si="1"/>
        <v>-1</v>
      </c>
      <c r="I35" s="9"/>
      <c r="J35" s="9"/>
      <c r="K35" s="42"/>
      <c r="L35" s="6"/>
      <c r="M35" s="6"/>
    </row>
    <row r="36" spans="2:13" ht="68" customHeight="1" x14ac:dyDescent="0.2">
      <c r="B36" s="15" t="s">
        <v>30</v>
      </c>
      <c r="C36" s="9">
        <v>0</v>
      </c>
      <c r="D36" s="9">
        <v>0</v>
      </c>
      <c r="E36" s="9">
        <f t="shared" si="0"/>
        <v>0</v>
      </c>
      <c r="F36" s="9">
        <v>0</v>
      </c>
      <c r="G36" s="9">
        <v>1</v>
      </c>
      <c r="H36" s="36">
        <f t="shared" si="1"/>
        <v>-1</v>
      </c>
      <c r="I36" s="9"/>
      <c r="J36" s="9"/>
      <c r="K36" s="42"/>
      <c r="L36" s="6"/>
      <c r="M36" s="6"/>
    </row>
    <row r="37" spans="2:13" ht="29" x14ac:dyDescent="0.2">
      <c r="B37" s="15" t="s">
        <v>31</v>
      </c>
      <c r="C37" s="9">
        <v>0</v>
      </c>
      <c r="D37" s="9">
        <v>0</v>
      </c>
      <c r="E37" s="9">
        <f t="shared" ref="E37:E60" si="2">C37-D37</f>
        <v>0</v>
      </c>
      <c r="F37" s="9">
        <v>0</v>
      </c>
      <c r="G37" s="9">
        <v>1</v>
      </c>
      <c r="H37" s="36">
        <f t="shared" si="1"/>
        <v>-1</v>
      </c>
      <c r="I37" s="9"/>
      <c r="J37" s="9"/>
      <c r="K37" s="42"/>
      <c r="L37" s="6"/>
      <c r="M37" s="6"/>
    </row>
    <row r="38" spans="2:13" ht="141" x14ac:dyDescent="0.2">
      <c r="B38" s="15" t="s">
        <v>32</v>
      </c>
      <c r="C38" s="9">
        <v>0</v>
      </c>
      <c r="D38" s="9">
        <v>0</v>
      </c>
      <c r="E38" s="9">
        <f t="shared" si="2"/>
        <v>0</v>
      </c>
      <c r="F38" s="9">
        <v>0</v>
      </c>
      <c r="G38" s="9">
        <v>1</v>
      </c>
      <c r="H38" s="36">
        <f t="shared" si="1"/>
        <v>-1</v>
      </c>
      <c r="I38" s="9"/>
      <c r="J38" s="9"/>
      <c r="K38" s="42"/>
      <c r="L38" s="6"/>
      <c r="M38" s="6"/>
    </row>
    <row r="39" spans="2:13" ht="80" customHeight="1" x14ac:dyDescent="0.2">
      <c r="B39" s="15" t="s">
        <v>33</v>
      </c>
      <c r="C39" s="9">
        <v>0</v>
      </c>
      <c r="D39" s="9">
        <v>0</v>
      </c>
      <c r="E39" s="9">
        <f t="shared" si="2"/>
        <v>0</v>
      </c>
      <c r="F39" s="9">
        <v>0</v>
      </c>
      <c r="G39" s="9">
        <v>1</v>
      </c>
      <c r="H39" s="36">
        <f t="shared" si="1"/>
        <v>-1</v>
      </c>
      <c r="I39" s="9"/>
      <c r="J39" s="9"/>
      <c r="K39" s="42"/>
      <c r="L39" s="6"/>
      <c r="M39" s="6"/>
    </row>
    <row r="40" spans="2:13" ht="29" x14ac:dyDescent="0.2">
      <c r="B40" s="15" t="s">
        <v>34</v>
      </c>
      <c r="C40" s="9">
        <v>1</v>
      </c>
      <c r="D40" s="9">
        <v>1</v>
      </c>
      <c r="E40" s="9">
        <f t="shared" si="2"/>
        <v>0</v>
      </c>
      <c r="F40" s="9">
        <v>0</v>
      </c>
      <c r="G40" s="9">
        <v>0</v>
      </c>
      <c r="H40" s="37">
        <f t="shared" si="1"/>
        <v>0</v>
      </c>
      <c r="I40" s="9"/>
      <c r="J40" s="9">
        <v>0</v>
      </c>
      <c r="K40" s="42"/>
      <c r="L40" s="19"/>
      <c r="M40" s="6"/>
    </row>
    <row r="41" spans="2:13" ht="43" x14ac:dyDescent="0.2">
      <c r="B41" s="15" t="s">
        <v>35</v>
      </c>
      <c r="C41" s="9">
        <v>0</v>
      </c>
      <c r="D41" s="9">
        <v>0</v>
      </c>
      <c r="E41" s="9">
        <f t="shared" si="2"/>
        <v>0</v>
      </c>
      <c r="F41" s="9">
        <v>0</v>
      </c>
      <c r="G41" s="9">
        <v>1</v>
      </c>
      <c r="H41" s="36">
        <f t="shared" si="1"/>
        <v>-1</v>
      </c>
      <c r="I41" s="9"/>
      <c r="J41" s="9"/>
      <c r="K41" s="42"/>
      <c r="L41" s="6"/>
      <c r="M41" s="6"/>
    </row>
    <row r="42" spans="2:13" ht="85" x14ac:dyDescent="0.2">
      <c r="B42" s="15" t="s">
        <v>36</v>
      </c>
      <c r="C42" s="9">
        <v>0</v>
      </c>
      <c r="D42" s="9">
        <v>0</v>
      </c>
      <c r="E42" s="9">
        <f t="shared" si="2"/>
        <v>0</v>
      </c>
      <c r="F42" s="9">
        <v>0</v>
      </c>
      <c r="G42" s="9">
        <v>1</v>
      </c>
      <c r="H42" s="36">
        <f t="shared" si="1"/>
        <v>-1</v>
      </c>
      <c r="I42" s="9"/>
      <c r="J42" s="9"/>
      <c r="K42" s="42"/>
      <c r="L42" s="6"/>
      <c r="M42" s="6"/>
    </row>
    <row r="43" spans="2:13" ht="127" x14ac:dyDescent="0.2">
      <c r="B43" s="15" t="s">
        <v>37</v>
      </c>
      <c r="C43" s="9">
        <v>0</v>
      </c>
      <c r="D43" s="9">
        <v>0</v>
      </c>
      <c r="E43" s="9">
        <f t="shared" si="2"/>
        <v>0</v>
      </c>
      <c r="F43" s="9">
        <v>0</v>
      </c>
      <c r="G43" s="9">
        <v>1</v>
      </c>
      <c r="H43" s="36">
        <f t="shared" si="1"/>
        <v>-1</v>
      </c>
      <c r="I43" s="9"/>
      <c r="J43" s="9"/>
      <c r="K43" s="42"/>
      <c r="L43" s="6"/>
      <c r="M43" s="6"/>
    </row>
    <row r="44" spans="2:13" ht="29" x14ac:dyDescent="0.2">
      <c r="B44" s="15" t="s">
        <v>38</v>
      </c>
      <c r="C44" s="9">
        <v>0</v>
      </c>
      <c r="D44" s="9">
        <v>0</v>
      </c>
      <c r="E44" s="9">
        <f t="shared" si="2"/>
        <v>0</v>
      </c>
      <c r="F44" s="9">
        <v>0</v>
      </c>
      <c r="G44" s="9">
        <v>1</v>
      </c>
      <c r="H44" s="36">
        <f t="shared" si="1"/>
        <v>-1</v>
      </c>
      <c r="I44" s="9"/>
      <c r="J44" s="9"/>
      <c r="K44" s="42"/>
      <c r="L44" s="6"/>
      <c r="M44" s="6"/>
    </row>
    <row r="45" spans="2:13" ht="111" customHeight="1" x14ac:dyDescent="0.2">
      <c r="B45" s="15" t="s">
        <v>39</v>
      </c>
      <c r="C45" s="9">
        <v>1</v>
      </c>
      <c r="D45" s="9">
        <v>1</v>
      </c>
      <c r="E45" s="9">
        <f t="shared" si="2"/>
        <v>0</v>
      </c>
      <c r="F45" s="9">
        <v>0</v>
      </c>
      <c r="G45" s="9">
        <v>0</v>
      </c>
      <c r="H45" s="37">
        <f t="shared" si="1"/>
        <v>0</v>
      </c>
      <c r="I45" s="9"/>
      <c r="J45" s="9">
        <v>1</v>
      </c>
      <c r="K45" s="42"/>
      <c r="L45" s="6"/>
      <c r="M45" s="6"/>
    </row>
    <row r="46" spans="2:13" ht="113" x14ac:dyDescent="0.2">
      <c r="B46" s="15" t="s">
        <v>40</v>
      </c>
      <c r="C46" s="9">
        <v>0</v>
      </c>
      <c r="D46" s="9">
        <v>1</v>
      </c>
      <c r="E46" s="9">
        <f t="shared" si="2"/>
        <v>-1</v>
      </c>
      <c r="F46" s="9">
        <v>1</v>
      </c>
      <c r="G46" s="9">
        <v>0</v>
      </c>
      <c r="H46" s="35">
        <f t="shared" si="1"/>
        <v>1</v>
      </c>
      <c r="I46" s="9">
        <v>1</v>
      </c>
      <c r="J46" s="9">
        <v>0</v>
      </c>
      <c r="K46" s="42"/>
      <c r="L46" s="6"/>
      <c r="M46" s="6"/>
    </row>
    <row r="47" spans="2:13" ht="57" x14ac:dyDescent="0.2">
      <c r="B47" s="15" t="s">
        <v>41</v>
      </c>
      <c r="C47" s="9">
        <v>0</v>
      </c>
      <c r="D47" s="9">
        <v>0</v>
      </c>
      <c r="E47" s="9">
        <f t="shared" si="2"/>
        <v>0</v>
      </c>
      <c r="F47" s="9">
        <v>0</v>
      </c>
      <c r="G47" s="9">
        <v>0</v>
      </c>
      <c r="H47" s="37">
        <f t="shared" si="1"/>
        <v>0</v>
      </c>
      <c r="I47" s="9"/>
      <c r="J47" s="9">
        <v>1</v>
      </c>
      <c r="K47" s="42"/>
      <c r="L47" s="6"/>
      <c r="M47" s="6"/>
    </row>
    <row r="48" spans="2:13" ht="43" x14ac:dyDescent="0.2">
      <c r="B48" s="15" t="s">
        <v>42</v>
      </c>
      <c r="C48" s="9">
        <v>1</v>
      </c>
      <c r="D48" s="9">
        <v>1</v>
      </c>
      <c r="E48" s="9">
        <f t="shared" si="2"/>
        <v>0</v>
      </c>
      <c r="F48" s="9">
        <v>0</v>
      </c>
      <c r="G48" s="9">
        <v>1</v>
      </c>
      <c r="H48" s="36">
        <f t="shared" si="1"/>
        <v>-1</v>
      </c>
      <c r="I48" s="9"/>
      <c r="J48" s="9"/>
      <c r="K48" s="42"/>
      <c r="L48" s="6"/>
      <c r="M48" s="6"/>
    </row>
    <row r="49" spans="2:13" ht="57" x14ac:dyDescent="0.2">
      <c r="B49" s="15" t="s">
        <v>43</v>
      </c>
      <c r="C49" s="9">
        <v>0</v>
      </c>
      <c r="D49" s="9">
        <v>0</v>
      </c>
      <c r="E49" s="9">
        <f t="shared" si="2"/>
        <v>0</v>
      </c>
      <c r="F49" s="9">
        <v>0</v>
      </c>
      <c r="G49" s="9">
        <v>1</v>
      </c>
      <c r="H49" s="36">
        <f t="shared" si="1"/>
        <v>-1</v>
      </c>
      <c r="I49" s="9"/>
      <c r="J49" s="9"/>
      <c r="K49" s="42"/>
      <c r="L49" s="6"/>
      <c r="M49" s="6"/>
    </row>
    <row r="50" spans="2:13" ht="43" x14ac:dyDescent="0.2">
      <c r="B50" s="15" t="s">
        <v>44</v>
      </c>
      <c r="C50" s="9">
        <v>1</v>
      </c>
      <c r="D50" s="9">
        <v>1</v>
      </c>
      <c r="E50" s="9">
        <f t="shared" si="2"/>
        <v>0</v>
      </c>
      <c r="F50" s="9">
        <v>0</v>
      </c>
      <c r="G50" s="9">
        <v>0</v>
      </c>
      <c r="H50" s="37">
        <f t="shared" si="1"/>
        <v>0</v>
      </c>
      <c r="I50" s="9"/>
      <c r="J50" s="9">
        <v>0</v>
      </c>
      <c r="K50" s="42"/>
      <c r="L50" s="19"/>
      <c r="M50" s="6"/>
    </row>
    <row r="51" spans="2:13" ht="40" customHeight="1" x14ac:dyDescent="0.2">
      <c r="B51" s="15" t="s">
        <v>31</v>
      </c>
      <c r="C51" s="9">
        <v>0</v>
      </c>
      <c r="D51" s="9">
        <v>0</v>
      </c>
      <c r="E51" s="9">
        <f t="shared" si="2"/>
        <v>0</v>
      </c>
      <c r="F51" s="9">
        <v>0</v>
      </c>
      <c r="G51" s="9">
        <v>1</v>
      </c>
      <c r="H51" s="36">
        <f>F51-G51</f>
        <v>-1</v>
      </c>
      <c r="I51" s="9"/>
      <c r="J51" s="9"/>
      <c r="K51" s="42"/>
      <c r="L51" s="19"/>
      <c r="M51" s="6"/>
    </row>
    <row r="52" spans="2:13" ht="43" x14ac:dyDescent="0.2">
      <c r="B52" s="15" t="s">
        <v>45</v>
      </c>
      <c r="C52" s="9">
        <v>0</v>
      </c>
      <c r="D52" s="9">
        <v>0</v>
      </c>
      <c r="E52" s="9">
        <f t="shared" si="2"/>
        <v>0</v>
      </c>
      <c r="F52" s="9">
        <v>0</v>
      </c>
      <c r="G52" s="9">
        <v>0</v>
      </c>
      <c r="H52" s="37">
        <f t="shared" si="1"/>
        <v>0</v>
      </c>
      <c r="I52" s="9"/>
      <c r="J52" s="9">
        <v>1</v>
      </c>
      <c r="K52" s="42"/>
      <c r="L52" s="6"/>
      <c r="M52" s="6"/>
    </row>
    <row r="53" spans="2:13" ht="57" x14ac:dyDescent="0.2">
      <c r="B53" s="15" t="s">
        <v>46</v>
      </c>
      <c r="C53" s="9">
        <v>1</v>
      </c>
      <c r="D53" s="9">
        <v>0</v>
      </c>
      <c r="E53" s="9">
        <f t="shared" si="2"/>
        <v>1</v>
      </c>
      <c r="F53" s="9">
        <v>1</v>
      </c>
      <c r="G53" s="9">
        <v>1</v>
      </c>
      <c r="H53" s="38">
        <f t="shared" si="1"/>
        <v>0</v>
      </c>
      <c r="I53" s="9"/>
      <c r="J53" s="9">
        <v>0</v>
      </c>
      <c r="K53" s="42"/>
      <c r="L53" s="6"/>
      <c r="M53" s="6"/>
    </row>
    <row r="54" spans="2:13" ht="29" x14ac:dyDescent="0.2">
      <c r="B54" s="15" t="s">
        <v>47</v>
      </c>
      <c r="C54" s="9">
        <v>0</v>
      </c>
      <c r="D54" s="9">
        <v>0</v>
      </c>
      <c r="E54" s="9">
        <f t="shared" si="2"/>
        <v>0</v>
      </c>
      <c r="F54" s="9">
        <v>0</v>
      </c>
      <c r="G54" s="9">
        <v>1</v>
      </c>
      <c r="H54" s="36">
        <f t="shared" ref="H54:H67" si="3">F54-G54</f>
        <v>-1</v>
      </c>
      <c r="I54" s="9"/>
      <c r="J54" s="9"/>
      <c r="K54" s="42"/>
      <c r="L54" s="6"/>
      <c r="M54" s="6"/>
    </row>
    <row r="55" spans="2:13" ht="99" x14ac:dyDescent="0.2">
      <c r="B55" s="15" t="s">
        <v>48</v>
      </c>
      <c r="C55" s="9">
        <v>0</v>
      </c>
      <c r="D55" s="9">
        <v>0</v>
      </c>
      <c r="E55" s="9">
        <f t="shared" si="2"/>
        <v>0</v>
      </c>
      <c r="F55" s="9">
        <v>0</v>
      </c>
      <c r="G55" s="9">
        <v>1</v>
      </c>
      <c r="H55" s="36">
        <f t="shared" si="3"/>
        <v>-1</v>
      </c>
      <c r="I55" s="9"/>
      <c r="J55" s="9"/>
      <c r="K55" s="42"/>
      <c r="L55" s="6"/>
      <c r="M55" s="6"/>
    </row>
    <row r="56" spans="2:13" ht="29" x14ac:dyDescent="0.2">
      <c r="B56" s="15" t="s">
        <v>49</v>
      </c>
      <c r="C56" s="9">
        <v>0</v>
      </c>
      <c r="D56" s="9">
        <v>0</v>
      </c>
      <c r="E56" s="9">
        <f t="shared" si="2"/>
        <v>0</v>
      </c>
      <c r="F56" s="9">
        <v>0</v>
      </c>
      <c r="G56" s="9">
        <v>1</v>
      </c>
      <c r="H56" s="36">
        <f t="shared" si="3"/>
        <v>-1</v>
      </c>
      <c r="I56" s="9"/>
      <c r="J56" s="9"/>
      <c r="K56" s="42"/>
      <c r="L56" s="6"/>
      <c r="M56" s="6"/>
    </row>
    <row r="57" spans="2:13" ht="43" x14ac:dyDescent="0.2">
      <c r="B57" s="15" t="s">
        <v>50</v>
      </c>
      <c r="C57" s="9">
        <v>1</v>
      </c>
      <c r="D57" s="9">
        <v>1</v>
      </c>
      <c r="E57" s="9">
        <f t="shared" si="2"/>
        <v>0</v>
      </c>
      <c r="F57" s="9">
        <v>0</v>
      </c>
      <c r="G57" s="9">
        <v>1</v>
      </c>
      <c r="H57" s="36">
        <f t="shared" si="3"/>
        <v>-1</v>
      </c>
      <c r="I57" s="9"/>
      <c r="J57" s="9"/>
      <c r="K57" s="42"/>
      <c r="L57" s="6"/>
      <c r="M57" s="6"/>
    </row>
    <row r="58" spans="2:13" ht="57" x14ac:dyDescent="0.2">
      <c r="B58" s="15" t="s">
        <v>51</v>
      </c>
      <c r="C58" s="9">
        <v>0</v>
      </c>
      <c r="D58" s="9">
        <v>0</v>
      </c>
      <c r="E58" s="9">
        <f t="shared" si="2"/>
        <v>0</v>
      </c>
      <c r="F58" s="9">
        <v>0</v>
      </c>
      <c r="G58" s="9">
        <v>1</v>
      </c>
      <c r="H58" s="36">
        <f t="shared" si="3"/>
        <v>-1</v>
      </c>
      <c r="I58" s="9"/>
      <c r="J58" s="9"/>
      <c r="K58" s="42"/>
      <c r="L58" s="6"/>
      <c r="M58" s="6"/>
    </row>
    <row r="59" spans="2:13" ht="57" x14ac:dyDescent="0.2">
      <c r="B59" s="15" t="s">
        <v>52</v>
      </c>
      <c r="C59" s="9">
        <v>0</v>
      </c>
      <c r="D59" s="9">
        <v>0</v>
      </c>
      <c r="E59" s="9">
        <f t="shared" si="2"/>
        <v>0</v>
      </c>
      <c r="F59" s="9">
        <v>0</v>
      </c>
      <c r="G59" s="9">
        <v>1</v>
      </c>
      <c r="H59" s="36">
        <f t="shared" si="3"/>
        <v>-1</v>
      </c>
      <c r="I59" s="9"/>
      <c r="J59" s="9"/>
      <c r="K59" s="42"/>
      <c r="L59" s="6"/>
      <c r="M59" s="6"/>
    </row>
    <row r="60" spans="2:13" ht="127" x14ac:dyDescent="0.2">
      <c r="B60" s="15" t="s">
        <v>53</v>
      </c>
      <c r="C60" s="9">
        <v>0</v>
      </c>
      <c r="D60" s="9">
        <v>0</v>
      </c>
      <c r="E60" s="9">
        <f t="shared" si="2"/>
        <v>0</v>
      </c>
      <c r="F60" s="9">
        <v>0</v>
      </c>
      <c r="G60" s="9">
        <v>1</v>
      </c>
      <c r="H60" s="36">
        <f t="shared" si="3"/>
        <v>-1</v>
      </c>
      <c r="I60" s="9"/>
      <c r="J60" s="9"/>
      <c r="K60" s="42"/>
      <c r="L60" s="6"/>
      <c r="M60" s="6"/>
    </row>
    <row r="61" spans="2:13" ht="25" customHeight="1" x14ac:dyDescent="0.2">
      <c r="B61" s="15" t="s">
        <v>54</v>
      </c>
      <c r="C61" s="9">
        <v>1</v>
      </c>
      <c r="D61" s="9">
        <v>0</v>
      </c>
      <c r="E61" s="9">
        <f t="shared" ref="E61:E67" si="4">C61-D61</f>
        <v>1</v>
      </c>
      <c r="F61" s="9">
        <v>1</v>
      </c>
      <c r="G61" s="9">
        <v>0</v>
      </c>
      <c r="H61" s="35">
        <f t="shared" si="3"/>
        <v>1</v>
      </c>
      <c r="I61" s="9">
        <v>0</v>
      </c>
      <c r="J61" s="9">
        <v>1</v>
      </c>
      <c r="K61" s="42"/>
      <c r="L61" s="6"/>
      <c r="M61" s="6"/>
    </row>
    <row r="62" spans="2:13" ht="43" x14ac:dyDescent="0.2">
      <c r="B62" s="15" t="s">
        <v>55</v>
      </c>
      <c r="C62" s="9">
        <v>0</v>
      </c>
      <c r="D62" s="9">
        <v>1</v>
      </c>
      <c r="E62" s="9">
        <f t="shared" si="4"/>
        <v>-1</v>
      </c>
      <c r="F62" s="9">
        <v>1</v>
      </c>
      <c r="G62" s="9">
        <v>1</v>
      </c>
      <c r="H62" s="38">
        <f t="shared" si="3"/>
        <v>0</v>
      </c>
      <c r="I62" s="9"/>
      <c r="J62" s="9">
        <v>0</v>
      </c>
      <c r="K62" s="42"/>
      <c r="L62" s="6"/>
      <c r="M62" s="6"/>
    </row>
    <row r="63" spans="2:13" ht="43" x14ac:dyDescent="0.2">
      <c r="B63" s="15" t="s">
        <v>56</v>
      </c>
      <c r="C63" s="9">
        <v>0</v>
      </c>
      <c r="D63" s="9">
        <v>0</v>
      </c>
      <c r="E63" s="9">
        <f t="shared" si="4"/>
        <v>0</v>
      </c>
      <c r="F63" s="9">
        <v>0</v>
      </c>
      <c r="G63" s="9">
        <v>0</v>
      </c>
      <c r="H63" s="37">
        <f t="shared" si="3"/>
        <v>0</v>
      </c>
      <c r="I63" s="9"/>
      <c r="J63" s="9">
        <v>1</v>
      </c>
      <c r="K63" s="42"/>
      <c r="L63" s="6"/>
      <c r="M63" s="6"/>
    </row>
    <row r="64" spans="2:13" ht="43" x14ac:dyDescent="0.2">
      <c r="B64" s="15" t="s">
        <v>57</v>
      </c>
      <c r="C64" s="9">
        <v>0</v>
      </c>
      <c r="D64" s="9">
        <v>0</v>
      </c>
      <c r="E64" s="9">
        <f t="shared" si="4"/>
        <v>0</v>
      </c>
      <c r="F64" s="9">
        <v>0</v>
      </c>
      <c r="G64" s="9">
        <v>1</v>
      </c>
      <c r="H64" s="36">
        <f t="shared" si="3"/>
        <v>-1</v>
      </c>
      <c r="I64" s="9"/>
      <c r="J64" s="9"/>
      <c r="K64" s="42"/>
      <c r="L64" s="6"/>
      <c r="M64" s="6"/>
    </row>
    <row r="65" spans="2:17" ht="71" x14ac:dyDescent="0.2">
      <c r="B65" s="15" t="s">
        <v>58</v>
      </c>
      <c r="C65" s="9">
        <v>0</v>
      </c>
      <c r="D65" s="9">
        <v>0</v>
      </c>
      <c r="E65" s="9">
        <f t="shared" si="4"/>
        <v>0</v>
      </c>
      <c r="F65" s="9">
        <v>0</v>
      </c>
      <c r="G65" s="9">
        <v>0</v>
      </c>
      <c r="H65" s="37">
        <f t="shared" si="3"/>
        <v>0</v>
      </c>
      <c r="I65" s="9"/>
      <c r="J65" s="9">
        <v>1</v>
      </c>
      <c r="K65" s="42"/>
      <c r="L65" s="6"/>
      <c r="M65" s="6"/>
    </row>
    <row r="66" spans="2:17" ht="57" x14ac:dyDescent="0.2">
      <c r="B66" s="15" t="s">
        <v>59</v>
      </c>
      <c r="C66" s="9">
        <v>0</v>
      </c>
      <c r="D66" s="9">
        <v>0</v>
      </c>
      <c r="E66" s="9">
        <f t="shared" si="4"/>
        <v>0</v>
      </c>
      <c r="F66" s="9">
        <v>0</v>
      </c>
      <c r="G66" s="9">
        <v>1</v>
      </c>
      <c r="H66" s="36">
        <f t="shared" si="3"/>
        <v>-1</v>
      </c>
      <c r="I66" s="9"/>
      <c r="J66" s="9"/>
      <c r="K66" s="42"/>
      <c r="L66" s="6"/>
      <c r="M66" s="6"/>
    </row>
    <row r="67" spans="2:17" ht="141" x14ac:dyDescent="0.2">
      <c r="B67" s="15" t="s">
        <v>60</v>
      </c>
      <c r="C67" s="9">
        <v>0</v>
      </c>
      <c r="D67" s="9">
        <v>1</v>
      </c>
      <c r="E67" s="9">
        <f t="shared" si="4"/>
        <v>-1</v>
      </c>
      <c r="F67" s="9">
        <v>1</v>
      </c>
      <c r="G67" s="9">
        <v>0</v>
      </c>
      <c r="H67" s="35">
        <f t="shared" si="3"/>
        <v>1</v>
      </c>
      <c r="I67" s="9">
        <v>1</v>
      </c>
      <c r="J67" s="9">
        <v>1</v>
      </c>
      <c r="K67" s="42"/>
      <c r="L67" s="6"/>
      <c r="M67" s="6"/>
    </row>
    <row r="68" spans="2:17" x14ac:dyDescent="0.2">
      <c r="B68" s="5"/>
      <c r="C68" s="4"/>
      <c r="D68" s="4"/>
      <c r="E68" s="4"/>
      <c r="F68" s="4"/>
      <c r="G68" s="4"/>
      <c r="H68" s="4"/>
      <c r="I68" s="6"/>
      <c r="J68" s="6"/>
      <c r="K68" s="6"/>
      <c r="L68" s="6"/>
      <c r="M68" s="6"/>
    </row>
    <row r="69" spans="2:17" x14ac:dyDescent="0.2">
      <c r="B69" s="5"/>
      <c r="C69" s="4"/>
      <c r="D69" s="4"/>
      <c r="E69" s="4"/>
      <c r="F69" s="4"/>
      <c r="G69" s="4"/>
      <c r="H69" s="4"/>
      <c r="I69" s="6"/>
      <c r="J69" s="6"/>
      <c r="K69" s="6"/>
      <c r="L69" s="6"/>
      <c r="M69" s="6"/>
    </row>
    <row r="70" spans="2:17" x14ac:dyDescent="0.2">
      <c r="B70" s="3"/>
      <c r="C70" s="2"/>
      <c r="D70" s="2"/>
      <c r="E70" s="2"/>
      <c r="F70" s="2"/>
      <c r="G70" s="2"/>
      <c r="H70" s="2"/>
      <c r="I70" s="8" t="s">
        <v>89</v>
      </c>
      <c r="J70" s="26"/>
      <c r="K70" s="26"/>
    </row>
    <row r="71" spans="2:17" x14ac:dyDescent="0.2">
      <c r="B71" s="3"/>
      <c r="C71" s="2"/>
      <c r="D71" s="14" t="s">
        <v>67</v>
      </c>
      <c r="E71" s="14">
        <v>62</v>
      </c>
      <c r="F71" s="2"/>
      <c r="G71" s="2"/>
      <c r="H71" s="2"/>
      <c r="I71" s="11" t="s">
        <v>69</v>
      </c>
      <c r="J71" s="27"/>
      <c r="K71" s="27"/>
    </row>
    <row r="72" spans="2:17" x14ac:dyDescent="0.2">
      <c r="B72" s="3"/>
      <c r="C72" s="2"/>
      <c r="D72" s="14" t="s">
        <v>68</v>
      </c>
      <c r="E72" s="14">
        <v>45</v>
      </c>
      <c r="F72" s="2"/>
      <c r="G72" s="2"/>
      <c r="H72" s="2"/>
      <c r="I72" s="13" t="s">
        <v>70</v>
      </c>
      <c r="J72" s="28"/>
      <c r="K72" s="28"/>
    </row>
    <row r="73" spans="2:17" x14ac:dyDescent="0.2">
      <c r="B73" s="1"/>
      <c r="D73" s="7" t="s">
        <v>75</v>
      </c>
      <c r="E73" s="7">
        <f>E71-E72</f>
        <v>17</v>
      </c>
      <c r="I73" s="10" t="s">
        <v>71</v>
      </c>
      <c r="J73" s="29"/>
      <c r="K73" s="29"/>
    </row>
    <row r="74" spans="2:17" x14ac:dyDescent="0.2">
      <c r="B74" s="1"/>
      <c r="D74" s="14" t="s">
        <v>86</v>
      </c>
      <c r="E74" s="7">
        <f>E72/E71</f>
        <v>0.72580645161290325</v>
      </c>
      <c r="I74" s="12" t="s">
        <v>72</v>
      </c>
      <c r="J74" s="30"/>
      <c r="K74" s="30"/>
    </row>
    <row r="75" spans="2:17" x14ac:dyDescent="0.2">
      <c r="B75" s="1"/>
      <c r="D75" s="2"/>
    </row>
    <row r="76" spans="2:17" x14ac:dyDescent="0.2">
      <c r="B76" s="1"/>
    </row>
    <row r="77" spans="2:17" x14ac:dyDescent="0.2">
      <c r="B77" s="1"/>
    </row>
    <row r="78" spans="2:17" x14ac:dyDescent="0.2">
      <c r="B78" s="1"/>
      <c r="D78" s="16" t="s">
        <v>88</v>
      </c>
      <c r="E78" s="7"/>
      <c r="F78" s="7"/>
      <c r="I78" s="16" t="s">
        <v>91</v>
      </c>
      <c r="J78" s="16"/>
      <c r="K78" s="16"/>
      <c r="L78" s="7" t="s">
        <v>61</v>
      </c>
      <c r="M78" s="7" t="s">
        <v>74</v>
      </c>
      <c r="N78" s="7"/>
      <c r="P78" s="17"/>
    </row>
    <row r="79" spans="2:17" x14ac:dyDescent="0.2">
      <c r="B79" s="1"/>
      <c r="D79" s="7" t="s">
        <v>82</v>
      </c>
      <c r="E79" s="7"/>
      <c r="F79" s="7"/>
      <c r="I79" s="7" t="s">
        <v>66</v>
      </c>
      <c r="J79" s="7"/>
      <c r="K79" s="7"/>
      <c r="L79" s="10">
        <v>5</v>
      </c>
      <c r="M79" s="11">
        <v>6</v>
      </c>
      <c r="N79" s="7">
        <f>L79+M79</f>
        <v>11</v>
      </c>
      <c r="P79" t="s">
        <v>117</v>
      </c>
      <c r="Q79">
        <v>11</v>
      </c>
    </row>
    <row r="80" spans="2:17" x14ac:dyDescent="0.2">
      <c r="B80" s="1"/>
      <c r="D80" s="7" t="s">
        <v>78</v>
      </c>
      <c r="E80" s="7">
        <f>(N79*L81)/N81</f>
        <v>7.9838709677419351</v>
      </c>
      <c r="F80" s="7"/>
      <c r="I80" s="7" t="s">
        <v>73</v>
      </c>
      <c r="J80" s="7"/>
      <c r="K80" s="7"/>
      <c r="L80" s="12">
        <v>40</v>
      </c>
      <c r="M80" s="13">
        <v>11</v>
      </c>
      <c r="N80" s="7">
        <f>L80+M80</f>
        <v>51</v>
      </c>
      <c r="P80" t="s">
        <v>118</v>
      </c>
      <c r="Q80">
        <v>51</v>
      </c>
    </row>
    <row r="81" spans="2:17" x14ac:dyDescent="0.2">
      <c r="B81" s="1"/>
      <c r="D81" s="7" t="s">
        <v>79</v>
      </c>
      <c r="E81" s="7">
        <f>(N79*M81)/N81</f>
        <v>3.0161290322580645</v>
      </c>
      <c r="F81" s="7"/>
      <c r="I81" s="7"/>
      <c r="J81" s="7"/>
      <c r="K81" s="7"/>
      <c r="L81" s="7">
        <f>L79+L80</f>
        <v>45</v>
      </c>
      <c r="M81" s="7">
        <f>M79+M80</f>
        <v>17</v>
      </c>
      <c r="N81" s="7">
        <f>N79+N80</f>
        <v>62</v>
      </c>
      <c r="P81" t="s">
        <v>119</v>
      </c>
      <c r="Q81">
        <v>45</v>
      </c>
    </row>
    <row r="82" spans="2:17" x14ac:dyDescent="0.2">
      <c r="B82" s="1"/>
      <c r="D82" s="7" t="s">
        <v>80</v>
      </c>
      <c r="E82" s="7">
        <f>(N80*L81)/N81</f>
        <v>37.016129032258064</v>
      </c>
      <c r="F82" s="7"/>
      <c r="P82" t="s">
        <v>120</v>
      </c>
      <c r="Q82">
        <v>17</v>
      </c>
    </row>
    <row r="83" spans="2:17" x14ac:dyDescent="0.2">
      <c r="B83" s="1"/>
      <c r="D83" s="7" t="s">
        <v>81</v>
      </c>
      <c r="E83" s="7">
        <f>(N80*M81)/N81</f>
        <v>13.983870967741936</v>
      </c>
      <c r="F83" s="7"/>
      <c r="H83" t="s">
        <v>110</v>
      </c>
      <c r="I83" s="16" t="s">
        <v>77</v>
      </c>
      <c r="J83" s="16"/>
      <c r="K83" s="16"/>
      <c r="L83" s="7" t="s">
        <v>61</v>
      </c>
      <c r="M83" s="7" t="s">
        <v>74</v>
      </c>
      <c r="P83" t="s">
        <v>121</v>
      </c>
      <c r="Q83">
        <v>62</v>
      </c>
    </row>
    <row r="84" spans="2:17" x14ac:dyDescent="0.2">
      <c r="B84" s="1"/>
      <c r="D84" s="7"/>
      <c r="E84" s="7"/>
      <c r="F84" s="7"/>
      <c r="I84" s="7" t="s">
        <v>66</v>
      </c>
      <c r="J84" s="7"/>
      <c r="K84" s="7"/>
      <c r="L84" s="7">
        <f>L79/L81</f>
        <v>0.1111111111111111</v>
      </c>
      <c r="M84" s="7">
        <f>M79/M81</f>
        <v>0.35294117647058826</v>
      </c>
    </row>
    <row r="85" spans="2:17" x14ac:dyDescent="0.2">
      <c r="B85" s="1"/>
      <c r="D85" s="7" t="s">
        <v>84</v>
      </c>
      <c r="E85" s="7" t="s">
        <v>61</v>
      </c>
      <c r="F85" s="7" t="s">
        <v>74</v>
      </c>
      <c r="I85" s="7" t="s">
        <v>73</v>
      </c>
      <c r="J85" s="7"/>
      <c r="K85" s="7"/>
      <c r="L85" s="7">
        <f>L80/L81</f>
        <v>0.88888888888888884</v>
      </c>
      <c r="M85" s="7">
        <f>M80/M81</f>
        <v>0.6470588235294118</v>
      </c>
    </row>
    <row r="86" spans="2:17" x14ac:dyDescent="0.2">
      <c r="B86" s="1"/>
      <c r="D86" s="7" t="s">
        <v>66</v>
      </c>
      <c r="E86" s="7">
        <f>((L79-E80)^2)/E80</f>
        <v>1.1151840990550665</v>
      </c>
      <c r="F86" s="7">
        <f>((M79-E81)^2)/E81</f>
        <v>2.9519579092634123</v>
      </c>
      <c r="I86" s="7"/>
      <c r="J86" s="7"/>
      <c r="K86" s="7"/>
      <c r="L86" s="7">
        <f>L84+L85</f>
        <v>1</v>
      </c>
      <c r="M86" s="7">
        <f>M84+M85</f>
        <v>1</v>
      </c>
    </row>
    <row r="87" spans="2:17" x14ac:dyDescent="0.2">
      <c r="B87" s="1"/>
      <c r="D87" s="7" t="s">
        <v>73</v>
      </c>
      <c r="E87" s="7">
        <f>((L80-E82)^2)/E82</f>
        <v>0.24052990371775956</v>
      </c>
      <c r="F87" s="7">
        <f>((M80-E83)^2)/E83</f>
        <v>0.63669680395877537</v>
      </c>
    </row>
    <row r="88" spans="2:17" x14ac:dyDescent="0.2">
      <c r="B88" s="1"/>
      <c r="D88" s="7"/>
      <c r="E88" s="7"/>
      <c r="F88" s="7"/>
      <c r="H88" t="s">
        <v>111</v>
      </c>
      <c r="I88" s="16" t="s">
        <v>76</v>
      </c>
      <c r="J88" s="16"/>
      <c r="K88" s="16"/>
      <c r="L88" s="7" t="s">
        <v>61</v>
      </c>
      <c r="M88" s="7" t="s">
        <v>74</v>
      </c>
      <c r="N88" s="7"/>
    </row>
    <row r="89" spans="2:17" x14ac:dyDescent="0.2">
      <c r="B89" s="1"/>
      <c r="D89" s="7" t="s">
        <v>83</v>
      </c>
      <c r="E89" s="7">
        <v>1</v>
      </c>
      <c r="F89" s="7"/>
      <c r="I89" s="7" t="s">
        <v>66</v>
      </c>
      <c r="J89" s="7"/>
      <c r="K89" s="7"/>
      <c r="L89" s="7">
        <f>L79/N79</f>
        <v>0.45454545454545453</v>
      </c>
      <c r="M89" s="7">
        <f>M79/N79</f>
        <v>0.54545454545454541</v>
      </c>
      <c r="N89" s="7">
        <f>L89+M89</f>
        <v>1</v>
      </c>
    </row>
    <row r="90" spans="2:17" x14ac:dyDescent="0.2">
      <c r="B90" s="1"/>
      <c r="D90" s="7" t="s">
        <v>84</v>
      </c>
      <c r="E90" s="7">
        <f>+E86+F86+E87+F87</f>
        <v>4.9443687159950143</v>
      </c>
      <c r="F90" s="7"/>
      <c r="I90" s="7" t="s">
        <v>73</v>
      </c>
      <c r="J90" s="7"/>
      <c r="K90" s="7"/>
      <c r="L90" s="7">
        <f>L80/N80</f>
        <v>0.78431372549019607</v>
      </c>
      <c r="M90" s="7">
        <f>M80/N80</f>
        <v>0.21568627450980393</v>
      </c>
      <c r="N90" s="7">
        <f>L90+M90</f>
        <v>1</v>
      </c>
    </row>
    <row r="91" spans="2:17" x14ac:dyDescent="0.2">
      <c r="B91" s="1"/>
      <c r="D91" s="7" t="s">
        <v>85</v>
      </c>
      <c r="E91" s="39">
        <v>2.6176999999999999E-2</v>
      </c>
      <c r="F91" s="16" t="s">
        <v>94</v>
      </c>
    </row>
    <row r="92" spans="2:17" x14ac:dyDescent="0.2">
      <c r="B92" s="1"/>
      <c r="F92" s="17"/>
    </row>
    <row r="93" spans="2:17" ht="34" x14ac:dyDescent="0.2">
      <c r="B93" s="1"/>
      <c r="F93" s="17"/>
      <c r="H93" t="s">
        <v>112</v>
      </c>
      <c r="I93" s="20" t="s">
        <v>106</v>
      </c>
      <c r="J93" s="31"/>
      <c r="K93" s="31"/>
      <c r="L93" s="22">
        <v>6</v>
      </c>
      <c r="M93" s="23"/>
      <c r="N93" s="23"/>
      <c r="O93" s="23"/>
      <c r="P93" s="24"/>
    </row>
    <row r="94" spans="2:17" ht="34" x14ac:dyDescent="0.2">
      <c r="B94" s="1"/>
      <c r="F94" s="17"/>
      <c r="I94" s="20" t="s">
        <v>96</v>
      </c>
      <c r="J94" s="20"/>
      <c r="K94" s="20"/>
      <c r="L94" s="20">
        <v>3</v>
      </c>
      <c r="M94" s="20">
        <f>L94/L93</f>
        <v>0.5</v>
      </c>
      <c r="N94" s="20" t="s">
        <v>98</v>
      </c>
      <c r="O94" s="20">
        <v>4</v>
      </c>
      <c r="P94" s="20">
        <f>O94/L93</f>
        <v>0.66666666666666663</v>
      </c>
    </row>
    <row r="95" spans="2:17" ht="34" x14ac:dyDescent="0.2">
      <c r="B95" s="1"/>
      <c r="D95" s="16" t="s">
        <v>90</v>
      </c>
      <c r="E95" s="7"/>
      <c r="F95" s="7"/>
      <c r="I95" s="20" t="s">
        <v>97</v>
      </c>
      <c r="J95" s="20"/>
      <c r="K95" s="20"/>
      <c r="L95" s="20">
        <v>3</v>
      </c>
      <c r="M95" s="20">
        <f>L95/L93</f>
        <v>0.5</v>
      </c>
      <c r="N95" s="20" t="s">
        <v>100</v>
      </c>
      <c r="O95" s="20">
        <v>2</v>
      </c>
      <c r="P95" s="20">
        <f>O95/L93</f>
        <v>0.33333333333333331</v>
      </c>
    </row>
    <row r="96" spans="2:17" x14ac:dyDescent="0.2">
      <c r="B96" s="1"/>
      <c r="D96" s="18" t="s">
        <v>95</v>
      </c>
      <c r="E96" s="7"/>
      <c r="F96" s="7"/>
    </row>
    <row r="97" spans="2:16" ht="34" x14ac:dyDescent="0.2">
      <c r="B97" s="1"/>
      <c r="D97" s="7" t="s">
        <v>85</v>
      </c>
      <c r="E97" s="39">
        <v>2.9000000000000001E-2</v>
      </c>
      <c r="F97" s="16" t="s">
        <v>94</v>
      </c>
      <c r="H97" t="s">
        <v>114</v>
      </c>
      <c r="I97" s="20" t="s">
        <v>107</v>
      </c>
      <c r="J97" s="20"/>
      <c r="K97" s="20"/>
      <c r="L97" s="20">
        <v>11</v>
      </c>
      <c r="M97" s="20" t="s">
        <v>116</v>
      </c>
    </row>
    <row r="98" spans="2:16" ht="51" x14ac:dyDescent="0.2">
      <c r="B98" s="1"/>
      <c r="I98" s="20" t="s">
        <v>101</v>
      </c>
      <c r="J98" s="20"/>
      <c r="K98" s="20"/>
      <c r="L98" s="20">
        <v>8</v>
      </c>
      <c r="M98" s="20">
        <f>8/11</f>
        <v>0.72727272727272729</v>
      </c>
    </row>
    <row r="99" spans="2:16" ht="51" x14ac:dyDescent="0.2">
      <c r="B99" s="1"/>
      <c r="I99" s="20" t="s">
        <v>102</v>
      </c>
      <c r="J99" s="20"/>
      <c r="K99" s="20"/>
      <c r="L99" s="20">
        <v>3</v>
      </c>
      <c r="M99" s="20">
        <f>L99/L97</f>
        <v>0.27272727272727271</v>
      </c>
    </row>
    <row r="100" spans="2:16" x14ac:dyDescent="0.2">
      <c r="B100" s="1"/>
    </row>
    <row r="101" spans="2:16" ht="34" x14ac:dyDescent="0.2">
      <c r="B101" s="1"/>
      <c r="H101" t="s">
        <v>115</v>
      </c>
      <c r="I101" s="21" t="s">
        <v>108</v>
      </c>
      <c r="J101" s="21"/>
      <c r="K101" s="21"/>
      <c r="L101" s="20">
        <v>17</v>
      </c>
      <c r="M101" s="20"/>
    </row>
    <row r="102" spans="2:16" ht="51" x14ac:dyDescent="0.2">
      <c r="B102" s="1"/>
      <c r="I102" s="20" t="s">
        <v>103</v>
      </c>
      <c r="J102" s="20"/>
      <c r="K102" s="20"/>
      <c r="L102" s="20">
        <v>12</v>
      </c>
      <c r="M102" s="20">
        <f>L102/L101</f>
        <v>0.70588235294117652</v>
      </c>
    </row>
    <row r="103" spans="2:16" ht="17" x14ac:dyDescent="0.2">
      <c r="B103" s="1"/>
      <c r="I103" s="20" t="s">
        <v>104</v>
      </c>
      <c r="J103" s="20"/>
      <c r="K103" s="20"/>
      <c r="L103" s="20">
        <v>5</v>
      </c>
      <c r="M103" s="20">
        <f>L103/L101</f>
        <v>0.29411764705882354</v>
      </c>
    </row>
    <row r="104" spans="2:16" x14ac:dyDescent="0.2">
      <c r="B104" s="1"/>
    </row>
    <row r="105" spans="2:16" ht="34" x14ac:dyDescent="0.2">
      <c r="B105" s="1"/>
      <c r="H105" t="s">
        <v>113</v>
      </c>
      <c r="I105" s="20" t="s">
        <v>109</v>
      </c>
      <c r="J105" s="20"/>
      <c r="K105" s="20"/>
      <c r="L105" s="25">
        <v>5</v>
      </c>
      <c r="M105" s="25"/>
      <c r="N105" s="25"/>
      <c r="O105" s="25"/>
      <c r="P105" s="25"/>
    </row>
    <row r="106" spans="2:16" ht="34" x14ac:dyDescent="0.2">
      <c r="B106" s="1"/>
      <c r="I106" s="20" t="s">
        <v>105</v>
      </c>
      <c r="J106" s="20"/>
      <c r="K106" s="20"/>
      <c r="L106" s="20">
        <v>4</v>
      </c>
      <c r="M106" s="20">
        <f>L106/L105</f>
        <v>0.8</v>
      </c>
      <c r="N106" s="20" t="s">
        <v>98</v>
      </c>
      <c r="O106" s="20">
        <v>0</v>
      </c>
      <c r="P106" s="20">
        <v>0</v>
      </c>
    </row>
    <row r="107" spans="2:16" ht="34" x14ac:dyDescent="0.2">
      <c r="B107" s="1"/>
      <c r="I107" s="20" t="s">
        <v>99</v>
      </c>
      <c r="J107" s="20"/>
      <c r="K107" s="20"/>
      <c r="L107" s="20">
        <v>1</v>
      </c>
      <c r="M107" s="20">
        <f>L107/L105</f>
        <v>0.2</v>
      </c>
      <c r="N107" s="20" t="s">
        <v>100</v>
      </c>
      <c r="O107" s="20">
        <v>5</v>
      </c>
      <c r="P107" s="20">
        <v>1</v>
      </c>
    </row>
    <row r="108" spans="2:16" x14ac:dyDescent="0.2">
      <c r="B108" s="1"/>
    </row>
    <row r="109" spans="2:16" x14ac:dyDescent="0.2">
      <c r="B109" s="1"/>
    </row>
    <row r="110" spans="2:16" x14ac:dyDescent="0.2">
      <c r="B110" s="1"/>
    </row>
    <row r="111" spans="2:16" x14ac:dyDescent="0.2">
      <c r="B111" s="1"/>
    </row>
    <row r="112" spans="2:16" x14ac:dyDescent="0.2">
      <c r="B112" s="1"/>
    </row>
    <row r="113" spans="2:2" x14ac:dyDescent="0.2">
      <c r="B113" s="1"/>
    </row>
    <row r="114" spans="2:2" x14ac:dyDescent="0.2">
      <c r="B114" s="1"/>
    </row>
    <row r="115" spans="2:2" x14ac:dyDescent="0.2">
      <c r="B115" s="1"/>
    </row>
    <row r="116" spans="2:2" x14ac:dyDescent="0.2">
      <c r="B116" s="1"/>
    </row>
    <row r="117" spans="2:2" x14ac:dyDescent="0.2">
      <c r="B117" s="1"/>
    </row>
    <row r="118" spans="2:2" x14ac:dyDescent="0.2">
      <c r="B118" s="1"/>
    </row>
    <row r="119" spans="2:2" x14ac:dyDescent="0.2">
      <c r="B119" s="1"/>
    </row>
    <row r="120" spans="2:2" x14ac:dyDescent="0.2">
      <c r="B120" s="1"/>
    </row>
    <row r="121" spans="2:2" x14ac:dyDescent="0.2">
      <c r="B121" s="1"/>
    </row>
    <row r="122" spans="2:2" x14ac:dyDescent="0.2">
      <c r="B122" s="1"/>
    </row>
    <row r="123" spans="2:2" x14ac:dyDescent="0.2">
      <c r="B123" s="1"/>
    </row>
    <row r="124" spans="2:2" x14ac:dyDescent="0.2">
      <c r="B124" s="1"/>
    </row>
    <row r="125" spans="2:2" x14ac:dyDescent="0.2">
      <c r="B125" s="1"/>
    </row>
    <row r="126" spans="2:2" x14ac:dyDescent="0.2">
      <c r="B126" s="1"/>
    </row>
    <row r="127" spans="2:2" x14ac:dyDescent="0.2">
      <c r="B127" s="1"/>
    </row>
    <row r="128" spans="2:2" x14ac:dyDescent="0.2">
      <c r="B128" s="1"/>
    </row>
    <row r="129" spans="2:2" x14ac:dyDescent="0.2">
      <c r="B129" s="1"/>
    </row>
    <row r="130" spans="2:2" x14ac:dyDescent="0.2">
      <c r="B130" s="1"/>
    </row>
    <row r="131" spans="2:2" x14ac:dyDescent="0.2">
      <c r="B131" s="1"/>
    </row>
  </sheetData>
  <mergeCells count="5">
    <mergeCell ref="B3:I3"/>
    <mergeCell ref="B4:I4"/>
    <mergeCell ref="L93:P93"/>
    <mergeCell ref="L105:P105"/>
    <mergeCell ref="L16:M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 Datar</dc:creator>
  <cp:lastModifiedBy>Shreyas Datar</cp:lastModifiedBy>
  <dcterms:created xsi:type="dcterms:W3CDTF">2026-01-04T04:54:03Z</dcterms:created>
  <dcterms:modified xsi:type="dcterms:W3CDTF">2026-04-06T04:21:16Z</dcterms:modified>
</cp:coreProperties>
</file>